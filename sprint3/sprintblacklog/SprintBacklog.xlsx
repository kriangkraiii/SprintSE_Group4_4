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nc\Downloads\SE\Sprint 3\"/>
    </mc:Choice>
  </mc:AlternateContent>
  <xr:revisionPtr revIDLastSave="0" documentId="13_ncr:1_{48A000CF-5EB2-4875-AA9D-DF4961BFE7C3}" xr6:coauthVersionLast="47" xr6:coauthVersionMax="47" xr10:uidLastSave="{00000000-0000-0000-0000-000000000000}"/>
  <bookViews>
    <workbookView xWindow="-110" yWindow="-110" windowWidth="38620" windowHeight="21100" activeTab="1" xr2:uid="{21DB53D6-0F9D-4E36-BEA9-B22324E9E4FC}"/>
  </bookViews>
  <sheets>
    <sheet name="Sprint Backlog Sprint 3" sheetId="1" r:id="rId1"/>
    <sheet name="Sprint Backlog Sprint 1-3" sheetId="3" r:id="rId2"/>
    <sheet name="Capacity Sprint 3" sheetId="2" r:id="rId3"/>
    <sheet name="Capacity Sprint1-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8" i="3" l="1"/>
  <c r="T6" i="3" s="1"/>
  <c r="G78" i="3"/>
  <c r="L14" i="1"/>
  <c r="M14" i="1"/>
  <c r="G14" i="1"/>
  <c r="H14" i="1"/>
  <c r="I14" i="1"/>
  <c r="J14" i="1"/>
  <c r="K14" i="1"/>
  <c r="F14" i="1"/>
  <c r="H78" i="3"/>
  <c r="I78" i="3"/>
  <c r="J78" i="3"/>
  <c r="K78" i="3"/>
  <c r="L78" i="3"/>
  <c r="F78" i="3"/>
  <c r="H35" i="3"/>
  <c r="G35" i="3"/>
  <c r="I35" i="3"/>
  <c r="J35" i="3"/>
  <c r="K35" i="3"/>
  <c r="L35" i="3"/>
  <c r="F35" i="3"/>
  <c r="R7" i="3"/>
  <c r="R6" i="3"/>
  <c r="R7" i="1"/>
  <c r="C11" i="4"/>
  <c r="E11" i="4"/>
  <c r="H63" i="3"/>
  <c r="I63" i="3"/>
  <c r="J63" i="3"/>
  <c r="K63" i="3"/>
  <c r="L63" i="3"/>
  <c r="G63" i="3"/>
  <c r="F63" i="3"/>
  <c r="M78" i="3"/>
  <c r="T7" i="3" s="1"/>
  <c r="D11" i="4"/>
  <c r="M63" i="3"/>
  <c r="S7" i="3" s="1"/>
  <c r="E63" i="3"/>
  <c r="S6" i="3" s="1"/>
  <c r="E14" i="1"/>
  <c r="R6" i="1" s="1"/>
  <c r="C10" i="2"/>
</calcChain>
</file>

<file path=xl/sharedStrings.xml><?xml version="1.0" encoding="utf-8"?>
<sst xmlns="http://schemas.openxmlformats.org/spreadsheetml/2006/main" count="204" uniqueCount="68">
  <si>
    <t>Sprint No.</t>
  </si>
  <si>
    <t>Product Backlog Items</t>
  </si>
  <si>
    <t>Sprint Tasks</t>
  </si>
  <si>
    <t>Initial Estimate of Effort</t>
  </si>
  <si>
    <t>New Estimate of Effort Remaining at The End of Day…</t>
  </si>
  <si>
    <t>*** หมายเหตุ: กำหนดให้แต่ละ Sprint มีความยาว 1 สัปดาห์ (7 วัน)</t>
  </si>
  <si>
    <t>Testing</t>
  </si>
  <si>
    <t>User Interface</t>
  </si>
  <si>
    <t>Action Logging Logic</t>
  </si>
  <si>
    <t>Auto-Approval Logic</t>
  </si>
  <si>
    <t>Database Design</t>
  </si>
  <si>
    <t>รวม</t>
  </si>
  <si>
    <t>Document</t>
  </si>
  <si>
    <t>รายชื่อสมาชิก</t>
  </si>
  <si>
    <t>รหัสนักศึกษา</t>
  </si>
  <si>
    <t>จำนวนชม.ที่สามารถทำงานได้ใน Sprint</t>
  </si>
  <si>
    <t>นายนายศิรวิทย์ ขจรศรี</t>
  </si>
  <si>
    <t>643020646-0</t>
  </si>
  <si>
    <t xml:space="preserve">นายกฤต อินทรจินดา </t>
  </si>
  <si>
    <t>663380374-2</t>
  </si>
  <si>
    <t>นายธนัชชา คำไล้</t>
  </si>
  <si>
    <t>663380386-5</t>
  </si>
  <si>
    <t>นางสาวธันย์ชนก โสภา</t>
  </si>
  <si>
    <t>663380389-9</t>
  </si>
  <si>
    <t>นายธิติกร สุวรรณบุตรวิภา</t>
  </si>
  <si>
    <t>663380599-8</t>
  </si>
  <si>
    <t>นายเกรียงไกร ประเสริฐ</t>
  </si>
  <si>
    <t>663380616-4</t>
  </si>
  <si>
    <t>จำนวนชั่วโมงรวม</t>
  </si>
  <si>
    <t>Volunteer</t>
  </si>
  <si>
    <t>Actual Time</t>
  </si>
  <si>
    <t>As a driver, I want to send a message to a passenger without revealing too much personal information so that I can communicate with them in a saver manner.</t>
  </si>
  <si>
    <t>As a passenger, I want to get a notification when the driver is about to pick me up so that I can get myself ready or respond to the driver.</t>
  </si>
  <si>
    <t>As a passenger, I want to give a review for each ride that I took to support the community.</t>
  </si>
  <si>
    <t>Sprint 2</t>
  </si>
  <si>
    <t>Messaging Logic</t>
  </si>
  <si>
    <t>Notification Trigger Logic</t>
  </si>
  <si>
    <t>Ride Status Integration</t>
  </si>
  <si>
    <t>Review &amp; Rating Logic</t>
  </si>
  <si>
    <t>Data Validation</t>
  </si>
  <si>
    <t>Deploy</t>
  </si>
  <si>
    <t>นายกฤต อินทรจินดา 
นายธิติกร สุวรรณบุตรวิภา
นายธนัชชา คำไล้</t>
  </si>
  <si>
    <t>Sprint Backlog Sprint 3</t>
  </si>
  <si>
    <t>Capacity Sprint 3</t>
  </si>
  <si>
    <t>Sprint Backlog</t>
  </si>
  <si>
    <t>Sprint 1</t>
  </si>
  <si>
    <t>As an admin, I want a log that complies to the related law.</t>
  </si>
  <si>
    <t>นายกฤต อินทรจินดา
นายธิติกร สุวรรณบุตรวิภา</t>
  </si>
  <si>
    <t>As an admin, I want to create a blacklist of both the drivers and the passengers based on their actions so that I can prevent them to re-apply by using a different account.</t>
  </si>
  <si>
    <t>Duplicate Identity Verification</t>
  </si>
  <si>
    <t>Blacklist Status API</t>
  </si>
  <si>
    <t>นายธนัชชา คำไล้
นายศิรวิทย์ ขจรศรี</t>
  </si>
  <si>
    <t>As an admin, I want an automated user verification so that I can have more time to handle exceptional cases and other issues.</t>
  </si>
  <si>
    <t>Verification Schema Design</t>
  </si>
  <si>
    <t xml:space="preserve">นายกฤต อินทรจินดา
นายธิติกร สุวรรณบุตรวิภา </t>
  </si>
  <si>
    <t>Verification Status Workflow</t>
  </si>
  <si>
    <t>As a user, I want my account and information to be removed from the system when I am no longer want to be apart of this community.</t>
  </si>
  <si>
    <t>Data Anonymization Logic</t>
  </si>
  <si>
    <t>File Removal Service</t>
  </si>
  <si>
    <t>Privacy Policy Integration</t>
  </si>
  <si>
    <t>Sprint 3</t>
  </si>
  <si>
    <t>Capacity Sprint 1-3</t>
  </si>
  <si>
    <t xml:space="preserve">จำนวนชม.ที่สามารถทำงานได้ใน </t>
  </si>
  <si>
    <t>Update Database Design</t>
  </si>
  <si>
    <t>Improve Notification Trigger Logic</t>
  </si>
  <si>
    <t>Update Ride Status Integration</t>
  </si>
  <si>
    <t>Enhance User Interface for Notifications</t>
  </si>
  <si>
    <t>นายธนัชชา คำไล้
นายธิติกร สุวรรณบุตรวิภา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</si>
</sst>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6"/>
      <color theme="1"/>
      <name val="TH Sarabun New"/>
      <family val="2"/>
    </font>
    <font>
      <b/>
      <sz val="16"/>
      <color rgb="FF000000"/>
      <name val="TH Sarabun New"/>
      <family val="2"/>
    </font>
    <font>
      <sz val="11"/>
      <color theme="1"/>
      <name val="TH Sarabun New"/>
      <family val="2"/>
    </font>
    <font>
      <sz val="16"/>
      <color rgb="FF000000"/>
      <name val="TH Sarabun New"/>
      <family val="2"/>
    </font>
    <font>
      <sz val="16"/>
      <color rgb="FF000000"/>
      <name val="TH SarabunPSK"/>
      <family val="2"/>
      <charset val="222"/>
    </font>
    <font>
      <b/>
      <sz val="16"/>
      <color rgb="FF000000"/>
      <name val="TH SarabunPSK"/>
      <family val="2"/>
      <charset val="222"/>
    </font>
    <font>
      <b/>
      <sz val="24"/>
      <color rgb="FF000000"/>
      <name val="TH SarabunPSK"/>
      <family val="2"/>
      <charset val="222"/>
    </font>
    <font>
      <b/>
      <sz val="18"/>
      <color rgb="FF000000"/>
      <name val="TH Sarabun New"/>
      <family val="2"/>
    </font>
    <font>
      <sz val="11"/>
      <color theme="1"/>
      <name val="TH SarabunPSK"/>
      <family val="2"/>
      <charset val="222"/>
    </font>
    <font>
      <b/>
      <sz val="16"/>
      <color theme="1"/>
      <name val="TH SarabunPSK"/>
      <family val="2"/>
      <charset val="222"/>
    </font>
    <font>
      <sz val="16"/>
      <color theme="1"/>
      <name val="TH SarabunPSK"/>
      <family val="2"/>
      <charset val="222"/>
    </font>
    <font>
      <b/>
      <sz val="16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8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7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/>
    <xf numFmtId="0" fontId="10" fillId="0" borderId="0" xfId="0" applyFont="1"/>
    <xf numFmtId="0" fontId="13" fillId="0" borderId="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/>
    </xf>
    <xf numFmtId="0" fontId="13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0" xfId="0" applyFont="1"/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6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2">
    <cellStyle name="Normal" xfId="0" builtinId="0"/>
    <cellStyle name="Normal 2" xfId="1" xr:uid="{F94476AA-2871-441E-856E-90531E5E2D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136071</xdr:colOff>
      <xdr:row>3</xdr:row>
      <xdr:rowOff>72572</xdr:rowOff>
    </xdr:from>
    <xdr:to>
      <xdr:col>26</xdr:col>
      <xdr:colOff>478971</xdr:colOff>
      <xdr:row>14</xdr:row>
      <xdr:rowOff>74032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277CBC-040E-E67A-00AE-83F2E7C14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66000" y="1034143"/>
          <a:ext cx="4597400" cy="36911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162585</xdr:colOff>
      <xdr:row>8</xdr:row>
      <xdr:rowOff>192726</xdr:rowOff>
    </xdr:from>
    <xdr:to>
      <xdr:col>31</xdr:col>
      <xdr:colOff>452375</xdr:colOff>
      <xdr:row>21</xdr:row>
      <xdr:rowOff>250084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3B13305-358C-6F6A-A9AE-1A7DCCE48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05267" y="2686544"/>
          <a:ext cx="5138881" cy="4109813"/>
        </a:xfrm>
        <a:prstGeom prst="rect">
          <a:avLst/>
        </a:prstGeom>
      </xdr:spPr>
    </xdr:pic>
    <xdr:clientData/>
  </xdr:twoCellAnchor>
  <xdr:twoCellAnchor editAs="oneCell">
    <xdr:from>
      <xdr:col>14</xdr:col>
      <xdr:colOff>225260</xdr:colOff>
      <xdr:row>8</xdr:row>
      <xdr:rowOff>171534</xdr:rowOff>
    </xdr:from>
    <xdr:to>
      <xdr:col>22</xdr:col>
      <xdr:colOff>398834</xdr:colOff>
      <xdr:row>21</xdr:row>
      <xdr:rowOff>255767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AD943F1-3122-DAC8-F0E4-8B3B4FC81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12715" y="2665352"/>
          <a:ext cx="5022664" cy="4136688"/>
        </a:xfrm>
        <a:prstGeom prst="rect">
          <a:avLst/>
        </a:prstGeom>
      </xdr:spPr>
    </xdr:pic>
    <xdr:clientData/>
  </xdr:twoCellAnchor>
  <xdr:twoCellAnchor editAs="oneCell">
    <xdr:from>
      <xdr:col>14</xdr:col>
      <xdr:colOff>326572</xdr:colOff>
      <xdr:row>22</xdr:row>
      <xdr:rowOff>290285</xdr:rowOff>
    </xdr:from>
    <xdr:to>
      <xdr:col>22</xdr:col>
      <xdr:colOff>396422</xdr:colOff>
      <xdr:row>35</xdr:row>
      <xdr:rowOff>229507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DEB03A-761B-F374-B520-44F7C1184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1" y="7075714"/>
          <a:ext cx="4932135" cy="39487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208643</xdr:colOff>
      <xdr:row>22</xdr:row>
      <xdr:rowOff>281214</xdr:rowOff>
    </xdr:from>
    <xdr:to>
      <xdr:col>31</xdr:col>
      <xdr:colOff>354693</xdr:colOff>
      <xdr:row>35</xdr:row>
      <xdr:rowOff>239486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447FD0-D915-4950-33F6-9D4C1F7DA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68643" y="7066643"/>
          <a:ext cx="5008336" cy="39678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403088</xdr:colOff>
      <xdr:row>2</xdr:row>
      <xdr:rowOff>5522</xdr:rowOff>
    </xdr:from>
    <xdr:to>
      <xdr:col>11</xdr:col>
      <xdr:colOff>215348</xdr:colOff>
      <xdr:row>10</xdr:row>
      <xdr:rowOff>291008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C21ED1-1AE2-D779-6206-52D7913E2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9131" y="612913"/>
          <a:ext cx="3456608" cy="27150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6B410-87F1-4F70-A1CD-43146DD7B25E}">
  <dimension ref="A1:S17"/>
  <sheetViews>
    <sheetView topLeftCell="B1" zoomScale="160" zoomScaleNormal="160" workbookViewId="0">
      <selection activeCell="B15" sqref="B15"/>
    </sheetView>
  </sheetViews>
  <sheetFormatPr defaultColWidth="8.7265625" defaultRowHeight="24" x14ac:dyDescent="0.8"/>
  <cols>
    <col min="1" max="1" width="11.26953125" style="1" customWidth="1"/>
    <col min="2" max="2" width="41.54296875" style="1" customWidth="1"/>
    <col min="3" max="3" width="29.7265625" style="1" customWidth="1"/>
    <col min="4" max="4" width="34" style="1" customWidth="1"/>
    <col min="5" max="5" width="32.54296875" style="1" customWidth="1"/>
    <col min="6" max="12" width="8.7265625" style="1"/>
    <col min="13" max="13" width="23" style="1" customWidth="1"/>
    <col min="14" max="16384" width="8.7265625" style="1"/>
  </cols>
  <sheetData>
    <row r="1" spans="1:19" ht="27" x14ac:dyDescent="0.9">
      <c r="A1" s="44" t="s">
        <v>42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9"/>
      <c r="O1" s="9"/>
      <c r="P1" s="9"/>
      <c r="Q1" s="9"/>
      <c r="R1" s="9"/>
      <c r="S1" s="9"/>
    </row>
    <row r="2" spans="1:19" x14ac:dyDescent="0.8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x14ac:dyDescent="0.8">
      <c r="A3" s="46" t="s">
        <v>5</v>
      </c>
      <c r="B3" s="46"/>
      <c r="C3" s="46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x14ac:dyDescent="0.8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 spans="1:19" ht="24" customHeight="1" x14ac:dyDescent="0.8">
      <c r="A5" s="34" t="s">
        <v>0</v>
      </c>
      <c r="B5" s="34" t="s">
        <v>1</v>
      </c>
      <c r="C5" s="34" t="s">
        <v>2</v>
      </c>
      <c r="D5" s="34" t="s">
        <v>29</v>
      </c>
      <c r="E5" s="45" t="s">
        <v>3</v>
      </c>
      <c r="F5" s="34" t="s">
        <v>4</v>
      </c>
      <c r="G5" s="34"/>
      <c r="H5" s="34"/>
      <c r="I5" s="34"/>
      <c r="J5" s="34"/>
      <c r="K5" s="34"/>
      <c r="L5" s="34"/>
      <c r="M5" s="34" t="s">
        <v>30</v>
      </c>
      <c r="N5" s="9"/>
      <c r="O5" s="40"/>
      <c r="P5" s="41"/>
      <c r="Q5" s="42"/>
      <c r="R5" s="31" t="s">
        <v>60</v>
      </c>
      <c r="S5" s="9"/>
    </row>
    <row r="6" spans="1:19" x14ac:dyDescent="0.8">
      <c r="A6" s="34"/>
      <c r="B6" s="34"/>
      <c r="C6" s="34"/>
      <c r="D6" s="34"/>
      <c r="E6" s="45"/>
      <c r="F6" s="13">
        <v>1</v>
      </c>
      <c r="G6" s="13">
        <v>2</v>
      </c>
      <c r="H6" s="13">
        <v>3</v>
      </c>
      <c r="I6" s="13">
        <v>4</v>
      </c>
      <c r="J6" s="13">
        <v>5</v>
      </c>
      <c r="K6" s="13">
        <v>6</v>
      </c>
      <c r="L6" s="13">
        <v>7</v>
      </c>
      <c r="M6" s="34"/>
      <c r="N6" s="9"/>
      <c r="O6" s="43" t="s">
        <v>3</v>
      </c>
      <c r="P6" s="43"/>
      <c r="Q6" s="43"/>
      <c r="R6" s="25">
        <f>E14</f>
        <v>40</v>
      </c>
      <c r="S6" s="9"/>
    </row>
    <row r="7" spans="1:19" ht="24" customHeight="1" x14ac:dyDescent="0.8">
      <c r="A7" s="47">
        <v>3</v>
      </c>
      <c r="B7" s="37" t="s">
        <v>32</v>
      </c>
      <c r="C7" s="17" t="s">
        <v>10</v>
      </c>
      <c r="D7" s="14" t="s">
        <v>26</v>
      </c>
      <c r="E7" s="16">
        <v>3</v>
      </c>
      <c r="F7" s="16">
        <v>3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4">
        <v>0</v>
      </c>
      <c r="M7" s="14">
        <v>3</v>
      </c>
      <c r="N7" s="9"/>
      <c r="O7" s="43" t="s">
        <v>30</v>
      </c>
      <c r="P7" s="43"/>
      <c r="Q7" s="43"/>
      <c r="R7" s="25">
        <f>M14</f>
        <v>37</v>
      </c>
      <c r="S7" s="9"/>
    </row>
    <row r="8" spans="1:19" x14ac:dyDescent="0.8">
      <c r="A8" s="48"/>
      <c r="B8" s="38"/>
      <c r="C8" s="19" t="s">
        <v>36</v>
      </c>
      <c r="D8" s="20" t="s">
        <v>26</v>
      </c>
      <c r="E8" s="14">
        <v>8</v>
      </c>
      <c r="F8" s="14">
        <v>8</v>
      </c>
      <c r="G8" s="14">
        <v>6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8</v>
      </c>
      <c r="N8" s="36"/>
      <c r="O8" s="36"/>
      <c r="P8" s="36"/>
      <c r="Q8" s="36"/>
      <c r="R8" s="36"/>
      <c r="S8" s="36"/>
    </row>
    <row r="9" spans="1:19" x14ac:dyDescent="0.8">
      <c r="A9" s="48"/>
      <c r="B9" s="38"/>
      <c r="C9" s="19" t="s">
        <v>7</v>
      </c>
      <c r="D9" s="20" t="s">
        <v>18</v>
      </c>
      <c r="E9" s="14">
        <v>4</v>
      </c>
      <c r="F9" s="14">
        <v>4</v>
      </c>
      <c r="G9" s="14">
        <v>4</v>
      </c>
      <c r="H9" s="14">
        <v>4</v>
      </c>
      <c r="I9" s="14">
        <v>0</v>
      </c>
      <c r="J9" s="14">
        <v>0</v>
      </c>
      <c r="K9" s="14">
        <v>0</v>
      </c>
      <c r="L9" s="14">
        <v>0</v>
      </c>
      <c r="M9" s="14">
        <v>3</v>
      </c>
      <c r="N9" s="36"/>
      <c r="O9" s="36"/>
      <c r="P9" s="36"/>
      <c r="Q9" s="36"/>
      <c r="R9" s="36"/>
      <c r="S9" s="36"/>
    </row>
    <row r="10" spans="1:19" ht="24" customHeight="1" x14ac:dyDescent="0.8">
      <c r="A10" s="48"/>
      <c r="B10" s="38"/>
      <c r="C10" s="15" t="s">
        <v>37</v>
      </c>
      <c r="D10" s="14" t="s">
        <v>26</v>
      </c>
      <c r="E10" s="14">
        <v>8</v>
      </c>
      <c r="F10" s="14">
        <v>8</v>
      </c>
      <c r="G10" s="14">
        <v>8</v>
      </c>
      <c r="H10" s="14">
        <v>8</v>
      </c>
      <c r="I10" s="14">
        <v>5</v>
      </c>
      <c r="J10" s="14">
        <v>0</v>
      </c>
      <c r="K10" s="14">
        <v>0</v>
      </c>
      <c r="L10" s="14">
        <v>0</v>
      </c>
      <c r="M10" s="14">
        <v>8</v>
      </c>
      <c r="N10" s="9"/>
      <c r="O10" s="9"/>
      <c r="P10" s="9"/>
      <c r="Q10" s="9"/>
      <c r="R10" s="9"/>
      <c r="S10" s="9"/>
    </row>
    <row r="11" spans="1:19" ht="48" customHeight="1" x14ac:dyDescent="0.8">
      <c r="A11" s="48"/>
      <c r="B11" s="38"/>
      <c r="C11" s="19" t="s">
        <v>6</v>
      </c>
      <c r="D11" s="20" t="s">
        <v>67</v>
      </c>
      <c r="E11" s="14">
        <v>10</v>
      </c>
      <c r="F11" s="14">
        <v>10</v>
      </c>
      <c r="G11" s="14">
        <v>10</v>
      </c>
      <c r="H11" s="14">
        <v>10</v>
      </c>
      <c r="I11" s="14">
        <v>10</v>
      </c>
      <c r="J11" s="14">
        <v>8</v>
      </c>
      <c r="K11" s="14">
        <v>0</v>
      </c>
      <c r="L11" s="14">
        <v>0</v>
      </c>
      <c r="M11" s="14">
        <v>10</v>
      </c>
      <c r="N11" s="9"/>
      <c r="O11" s="9"/>
      <c r="P11" s="9"/>
      <c r="Q11" s="9"/>
      <c r="R11" s="9"/>
      <c r="S11" s="9"/>
    </row>
    <row r="12" spans="1:19" x14ac:dyDescent="0.8">
      <c r="A12" s="48"/>
      <c r="B12" s="38"/>
      <c r="C12" s="17" t="s">
        <v>12</v>
      </c>
      <c r="D12" s="14" t="s">
        <v>22</v>
      </c>
      <c r="E12" s="16">
        <v>5</v>
      </c>
      <c r="F12" s="16">
        <v>5</v>
      </c>
      <c r="G12" s="16">
        <v>5</v>
      </c>
      <c r="H12" s="16">
        <v>5</v>
      </c>
      <c r="I12" s="16">
        <v>5</v>
      </c>
      <c r="J12" s="16">
        <v>5</v>
      </c>
      <c r="K12" s="16">
        <v>5</v>
      </c>
      <c r="L12" s="14">
        <v>0</v>
      </c>
      <c r="M12" s="14">
        <v>3</v>
      </c>
      <c r="N12" s="9"/>
      <c r="O12" s="9"/>
      <c r="P12"/>
      <c r="Q12" s="9"/>
      <c r="R12" s="9"/>
      <c r="S12" s="9"/>
    </row>
    <row r="13" spans="1:19" x14ac:dyDescent="0.8">
      <c r="A13" s="48"/>
      <c r="B13" s="39"/>
      <c r="C13" s="22" t="s">
        <v>40</v>
      </c>
      <c r="D13" s="21" t="s">
        <v>26</v>
      </c>
      <c r="E13" s="21">
        <v>2</v>
      </c>
      <c r="F13" s="21">
        <v>2</v>
      </c>
      <c r="G13" s="21">
        <v>2</v>
      </c>
      <c r="H13" s="21">
        <v>2</v>
      </c>
      <c r="I13" s="21">
        <v>2</v>
      </c>
      <c r="J13" s="21">
        <v>2</v>
      </c>
      <c r="K13" s="21">
        <v>2</v>
      </c>
      <c r="L13" s="21">
        <v>0</v>
      </c>
      <c r="M13" s="21">
        <v>2</v>
      </c>
      <c r="N13" s="9"/>
      <c r="O13" s="9"/>
      <c r="P13" s="9"/>
      <c r="Q13" s="9"/>
      <c r="R13" s="9"/>
      <c r="S13" s="9"/>
    </row>
    <row r="14" spans="1:19" x14ac:dyDescent="0.8">
      <c r="A14" s="49"/>
      <c r="B14" s="33" t="s">
        <v>11</v>
      </c>
      <c r="C14" s="33"/>
      <c r="D14" s="33"/>
      <c r="E14" s="13">
        <f>SUM(E7:E13)</f>
        <v>40</v>
      </c>
      <c r="F14" s="14">
        <f>SUM(F7:F13)</f>
        <v>40</v>
      </c>
      <c r="G14" s="14">
        <f t="shared" ref="G14:L14" si="0">SUM(G7:G13)</f>
        <v>35</v>
      </c>
      <c r="H14" s="14">
        <f t="shared" si="0"/>
        <v>29</v>
      </c>
      <c r="I14" s="14">
        <f t="shared" si="0"/>
        <v>22</v>
      </c>
      <c r="J14" s="14">
        <f t="shared" si="0"/>
        <v>15</v>
      </c>
      <c r="K14" s="14">
        <f t="shared" si="0"/>
        <v>7</v>
      </c>
      <c r="L14" s="14">
        <f t="shared" si="0"/>
        <v>0</v>
      </c>
      <c r="M14" s="13">
        <f>SUM(M7:M13)</f>
        <v>37</v>
      </c>
      <c r="N14" s="9"/>
      <c r="O14" s="9"/>
      <c r="P14" s="9"/>
      <c r="Q14" s="9"/>
      <c r="R14" s="9"/>
      <c r="S14" s="9"/>
    </row>
    <row r="15" spans="1:19" x14ac:dyDescent="0.8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x14ac:dyDescent="0.8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19" x14ac:dyDescent="0.8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</sheetData>
  <mergeCells count="21">
    <mergeCell ref="O5:Q5"/>
    <mergeCell ref="O6:Q6"/>
    <mergeCell ref="Q8:Q9"/>
    <mergeCell ref="A1:M1"/>
    <mergeCell ref="E5:E6"/>
    <mergeCell ref="F5:L5"/>
    <mergeCell ref="M5:M6"/>
    <mergeCell ref="N8:N9"/>
    <mergeCell ref="A3:C3"/>
    <mergeCell ref="A5:A6"/>
    <mergeCell ref="B5:B6"/>
    <mergeCell ref="C5:C6"/>
    <mergeCell ref="D5:D6"/>
    <mergeCell ref="O7:Q7"/>
    <mergeCell ref="A7:A14"/>
    <mergeCell ref="B14:D14"/>
    <mergeCell ref="R8:R9"/>
    <mergeCell ref="S8:S9"/>
    <mergeCell ref="P8:P9"/>
    <mergeCell ref="O8:O9"/>
    <mergeCell ref="B7:B13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95550-7A18-4489-B5FD-FC963B61CE73}">
  <dimension ref="A1:AF80"/>
  <sheetViews>
    <sheetView tabSelected="1" topLeftCell="C51" zoomScaleNormal="100" workbookViewId="0">
      <selection activeCell="R72" sqref="R72"/>
    </sheetView>
  </sheetViews>
  <sheetFormatPr defaultRowHeight="14.5" x14ac:dyDescent="0.35"/>
  <cols>
    <col min="1" max="1" width="11.26953125" customWidth="1"/>
    <col min="2" max="2" width="41.54296875" customWidth="1"/>
    <col min="3" max="3" width="36.81640625" customWidth="1"/>
    <col min="4" max="4" width="34" customWidth="1"/>
    <col min="5" max="5" width="32.54296875" customWidth="1"/>
    <col min="13" max="13" width="23" customWidth="1"/>
  </cols>
  <sheetData>
    <row r="1" spans="1:20" ht="24" customHeight="1" x14ac:dyDescent="0.9">
      <c r="A1" s="44" t="s">
        <v>44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9"/>
      <c r="O1" s="9"/>
      <c r="P1" s="9"/>
      <c r="Q1" s="9"/>
      <c r="R1" s="9"/>
      <c r="S1" s="9"/>
    </row>
    <row r="2" spans="1:20" ht="24" customHeight="1" x14ac:dyDescent="0.8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20" ht="24" customHeight="1" x14ac:dyDescent="0.8">
      <c r="A3" s="46" t="s">
        <v>5</v>
      </c>
      <c r="B3" s="46"/>
      <c r="C3" s="46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20" ht="24" customHeight="1" x14ac:dyDescent="0.8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 spans="1:20" ht="24" customHeight="1" x14ac:dyDescent="0.8">
      <c r="A5" s="34" t="s">
        <v>0</v>
      </c>
      <c r="B5" s="34" t="s">
        <v>1</v>
      </c>
      <c r="C5" s="34" t="s">
        <v>2</v>
      </c>
      <c r="D5" s="34" t="s">
        <v>29</v>
      </c>
      <c r="E5" s="45" t="s">
        <v>3</v>
      </c>
      <c r="F5" s="34" t="s">
        <v>4</v>
      </c>
      <c r="G5" s="34"/>
      <c r="H5" s="34"/>
      <c r="I5" s="34"/>
      <c r="J5" s="34"/>
      <c r="K5" s="34"/>
      <c r="L5" s="34"/>
      <c r="M5" s="34" t="s">
        <v>30</v>
      </c>
      <c r="N5" s="9"/>
      <c r="O5" s="64"/>
      <c r="P5" s="64"/>
      <c r="Q5" s="64"/>
      <c r="R5" s="26" t="s">
        <v>45</v>
      </c>
      <c r="S5" s="26" t="s">
        <v>34</v>
      </c>
      <c r="T5" s="27" t="s">
        <v>60</v>
      </c>
    </row>
    <row r="6" spans="1:20" ht="24" customHeight="1" x14ac:dyDescent="0.8">
      <c r="A6" s="34"/>
      <c r="B6" s="34"/>
      <c r="C6" s="34"/>
      <c r="D6" s="34"/>
      <c r="E6" s="45"/>
      <c r="F6" s="13">
        <v>1</v>
      </c>
      <c r="G6" s="13">
        <v>2</v>
      </c>
      <c r="H6" s="13">
        <v>3</v>
      </c>
      <c r="I6" s="13">
        <v>4</v>
      </c>
      <c r="J6" s="13">
        <v>5</v>
      </c>
      <c r="K6" s="13">
        <v>6</v>
      </c>
      <c r="L6" s="13">
        <v>7</v>
      </c>
      <c r="M6" s="34"/>
      <c r="N6" s="9"/>
      <c r="O6" s="43" t="s">
        <v>3</v>
      </c>
      <c r="P6" s="43"/>
      <c r="Q6" s="43"/>
      <c r="R6" s="25">
        <f>E35</f>
        <v>119</v>
      </c>
      <c r="S6" s="25">
        <f>E63</f>
        <v>111</v>
      </c>
      <c r="T6" s="28">
        <f>E78</f>
        <v>40</v>
      </c>
    </row>
    <row r="7" spans="1:20" ht="24" customHeight="1" x14ac:dyDescent="0.8">
      <c r="A7" s="53">
        <v>1</v>
      </c>
      <c r="B7" s="61" t="s">
        <v>46</v>
      </c>
      <c r="C7" s="15" t="s">
        <v>10</v>
      </c>
      <c r="D7" s="14" t="s">
        <v>26</v>
      </c>
      <c r="E7" s="14">
        <v>3</v>
      </c>
      <c r="F7" s="14">
        <v>3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3</v>
      </c>
      <c r="N7" s="9"/>
      <c r="O7" s="43" t="s">
        <v>30</v>
      </c>
      <c r="P7" s="43"/>
      <c r="Q7" s="43"/>
      <c r="R7" s="25">
        <f>M35</f>
        <v>130</v>
      </c>
      <c r="S7" s="25">
        <f>M63</f>
        <v>110</v>
      </c>
      <c r="T7" s="28">
        <f>M78</f>
        <v>37</v>
      </c>
    </row>
    <row r="8" spans="1:20" ht="24" customHeight="1" x14ac:dyDescent="0.8">
      <c r="A8" s="53"/>
      <c r="B8" s="61"/>
      <c r="C8" s="15" t="s">
        <v>8</v>
      </c>
      <c r="D8" s="14" t="s">
        <v>26</v>
      </c>
      <c r="E8" s="14">
        <v>7</v>
      </c>
      <c r="F8" s="14">
        <v>7</v>
      </c>
      <c r="G8" s="14">
        <v>3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7</v>
      </c>
      <c r="N8" s="9"/>
      <c r="O8" s="9"/>
      <c r="P8" s="9"/>
      <c r="Q8" s="9"/>
      <c r="R8" s="9"/>
      <c r="S8" s="9"/>
    </row>
    <row r="9" spans="1:20" ht="24" customHeight="1" x14ac:dyDescent="0.8">
      <c r="A9" s="53"/>
      <c r="B9" s="61"/>
      <c r="C9" s="62" t="s">
        <v>7</v>
      </c>
      <c r="D9" s="37" t="s">
        <v>47</v>
      </c>
      <c r="E9" s="47">
        <v>4</v>
      </c>
      <c r="F9" s="47">
        <v>4</v>
      </c>
      <c r="G9" s="47">
        <v>4</v>
      </c>
      <c r="H9" s="47">
        <v>4</v>
      </c>
      <c r="I9" s="47">
        <v>0</v>
      </c>
      <c r="J9" s="47">
        <v>0</v>
      </c>
      <c r="K9" s="47">
        <v>0</v>
      </c>
      <c r="L9" s="47">
        <v>0</v>
      </c>
      <c r="M9" s="53">
        <v>4</v>
      </c>
      <c r="N9" s="9"/>
      <c r="O9" s="11"/>
      <c r="P9" s="11"/>
      <c r="Q9" s="11"/>
      <c r="R9" s="9"/>
      <c r="S9" s="9"/>
    </row>
    <row r="10" spans="1:20" ht="24" customHeight="1" x14ac:dyDescent="0.8">
      <c r="A10" s="53"/>
      <c r="B10" s="61"/>
      <c r="C10" s="62"/>
      <c r="D10" s="39"/>
      <c r="E10" s="49"/>
      <c r="F10" s="49"/>
      <c r="G10" s="49"/>
      <c r="H10" s="49"/>
      <c r="I10" s="49"/>
      <c r="J10" s="49"/>
      <c r="K10" s="49"/>
      <c r="L10" s="49"/>
      <c r="M10" s="53"/>
      <c r="N10" s="11"/>
      <c r="O10" s="11"/>
      <c r="P10" s="11"/>
      <c r="Q10" s="9"/>
      <c r="R10" s="9"/>
      <c r="S10" s="1"/>
    </row>
    <row r="11" spans="1:20" ht="24" customHeight="1" x14ac:dyDescent="0.8">
      <c r="A11" s="53"/>
      <c r="B11" s="61"/>
      <c r="C11" s="15" t="s">
        <v>6</v>
      </c>
      <c r="D11" s="14" t="s">
        <v>20</v>
      </c>
      <c r="E11" s="14">
        <v>6</v>
      </c>
      <c r="F11" s="14">
        <v>6</v>
      </c>
      <c r="G11" s="14">
        <v>6</v>
      </c>
      <c r="H11" s="14">
        <v>6</v>
      </c>
      <c r="I11" s="14">
        <v>0</v>
      </c>
      <c r="J11" s="14">
        <v>0</v>
      </c>
      <c r="K11" s="14">
        <v>0</v>
      </c>
      <c r="L11" s="14">
        <v>0</v>
      </c>
      <c r="M11" s="14">
        <v>8</v>
      </c>
      <c r="N11" s="9"/>
      <c r="O11" s="9"/>
      <c r="P11" s="9"/>
      <c r="Q11" s="9"/>
      <c r="R11" s="9"/>
      <c r="S11" s="9"/>
    </row>
    <row r="12" spans="1:20" ht="24" customHeight="1" x14ac:dyDescent="0.8">
      <c r="A12" s="53"/>
      <c r="B12" s="61"/>
      <c r="C12" s="15" t="s">
        <v>12</v>
      </c>
      <c r="D12" s="14" t="s">
        <v>22</v>
      </c>
      <c r="E12" s="14">
        <v>4</v>
      </c>
      <c r="F12" s="14">
        <v>4</v>
      </c>
      <c r="G12" s="14">
        <v>4</v>
      </c>
      <c r="H12" s="14">
        <v>4</v>
      </c>
      <c r="I12" s="14">
        <v>4</v>
      </c>
      <c r="J12" s="14">
        <v>0</v>
      </c>
      <c r="K12" s="14">
        <v>0</v>
      </c>
      <c r="L12" s="14">
        <v>0</v>
      </c>
      <c r="M12" s="14">
        <v>4</v>
      </c>
      <c r="N12" s="9"/>
      <c r="O12" s="11"/>
      <c r="P12" s="11"/>
      <c r="Q12" s="11"/>
      <c r="R12" s="10"/>
      <c r="S12" s="10"/>
    </row>
    <row r="13" spans="1:20" ht="24" customHeight="1" x14ac:dyDescent="0.8">
      <c r="A13" s="53"/>
      <c r="B13" s="61" t="s">
        <v>48</v>
      </c>
      <c r="C13" s="15" t="s">
        <v>10</v>
      </c>
      <c r="D13" s="14" t="s">
        <v>26</v>
      </c>
      <c r="E13" s="14">
        <v>3</v>
      </c>
      <c r="F13" s="14">
        <v>3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3</v>
      </c>
      <c r="N13" s="9"/>
      <c r="O13" s="9"/>
      <c r="P13" s="9"/>
      <c r="Q13" s="9"/>
      <c r="R13" s="10"/>
      <c r="S13" s="9"/>
    </row>
    <row r="14" spans="1:20" ht="24" customHeight="1" x14ac:dyDescent="0.35">
      <c r="A14" s="53"/>
      <c r="B14" s="61"/>
      <c r="C14" s="62" t="s">
        <v>7</v>
      </c>
      <c r="D14" s="37" t="s">
        <v>47</v>
      </c>
      <c r="E14" s="53">
        <v>4</v>
      </c>
      <c r="F14" s="53">
        <v>4</v>
      </c>
      <c r="G14" s="53">
        <v>4</v>
      </c>
      <c r="H14" s="53">
        <v>0</v>
      </c>
      <c r="I14" s="53">
        <v>0</v>
      </c>
      <c r="J14" s="53">
        <v>0</v>
      </c>
      <c r="K14" s="53">
        <v>0</v>
      </c>
      <c r="L14" s="53">
        <v>0</v>
      </c>
      <c r="M14" s="53">
        <v>4</v>
      </c>
      <c r="N14" s="36"/>
      <c r="O14" s="36"/>
      <c r="P14" s="36"/>
      <c r="Q14" s="36"/>
      <c r="R14" s="36"/>
      <c r="S14" s="36"/>
    </row>
    <row r="15" spans="1:20" ht="24" customHeight="1" x14ac:dyDescent="0.35">
      <c r="A15" s="53"/>
      <c r="B15" s="61"/>
      <c r="C15" s="62"/>
      <c r="D15" s="39"/>
      <c r="E15" s="53"/>
      <c r="F15" s="53"/>
      <c r="G15" s="53"/>
      <c r="H15" s="53"/>
      <c r="I15" s="53"/>
      <c r="J15" s="53"/>
      <c r="K15" s="53"/>
      <c r="L15" s="53"/>
      <c r="M15" s="53"/>
      <c r="N15" s="36"/>
      <c r="O15" s="36"/>
      <c r="P15" s="36"/>
      <c r="Q15" s="36"/>
      <c r="R15" s="36"/>
      <c r="S15" s="36"/>
    </row>
    <row r="16" spans="1:20" ht="24" customHeight="1" x14ac:dyDescent="0.8">
      <c r="A16" s="53"/>
      <c r="B16" s="61"/>
      <c r="C16" s="15" t="s">
        <v>49</v>
      </c>
      <c r="D16" s="14" t="s">
        <v>26</v>
      </c>
      <c r="E16" s="14">
        <v>7</v>
      </c>
      <c r="F16" s="14">
        <v>7</v>
      </c>
      <c r="G16" s="14">
        <v>7</v>
      </c>
      <c r="H16" s="14">
        <v>4</v>
      </c>
      <c r="I16" s="14">
        <v>0</v>
      </c>
      <c r="J16" s="14">
        <v>0</v>
      </c>
      <c r="K16" s="14">
        <v>0</v>
      </c>
      <c r="L16" s="14">
        <v>0</v>
      </c>
      <c r="M16" s="14">
        <v>7</v>
      </c>
      <c r="N16" s="9"/>
      <c r="O16" s="9"/>
      <c r="P16" s="9"/>
      <c r="Q16" s="9"/>
      <c r="R16" s="9"/>
      <c r="S16" s="9"/>
    </row>
    <row r="17" spans="1:19" ht="24" customHeight="1" x14ac:dyDescent="0.8">
      <c r="A17" s="53"/>
      <c r="B17" s="61"/>
      <c r="C17" s="15" t="s">
        <v>50</v>
      </c>
      <c r="D17" s="14" t="s">
        <v>26</v>
      </c>
      <c r="E17" s="14">
        <v>8</v>
      </c>
      <c r="F17" s="14">
        <v>8</v>
      </c>
      <c r="G17" s="14">
        <v>8</v>
      </c>
      <c r="H17" s="14">
        <v>8</v>
      </c>
      <c r="I17" s="14">
        <v>6</v>
      </c>
      <c r="J17" s="14">
        <v>0</v>
      </c>
      <c r="K17" s="14">
        <v>0</v>
      </c>
      <c r="L17" s="14">
        <v>0</v>
      </c>
      <c r="M17" s="14">
        <v>8</v>
      </c>
      <c r="N17" s="9"/>
      <c r="O17" s="9"/>
      <c r="P17" s="9"/>
      <c r="Q17" s="9"/>
      <c r="R17" s="9"/>
      <c r="S17" s="9"/>
    </row>
    <row r="18" spans="1:19" ht="24" customHeight="1" x14ac:dyDescent="0.35">
      <c r="A18" s="53"/>
      <c r="B18" s="61"/>
      <c r="C18" s="62" t="s">
        <v>6</v>
      </c>
      <c r="D18" s="37" t="s">
        <v>51</v>
      </c>
      <c r="E18" s="53">
        <v>6</v>
      </c>
      <c r="F18" s="53">
        <v>6</v>
      </c>
      <c r="G18" s="53">
        <v>6</v>
      </c>
      <c r="H18" s="53">
        <v>6</v>
      </c>
      <c r="I18" s="53">
        <v>6</v>
      </c>
      <c r="J18" s="53">
        <v>6</v>
      </c>
      <c r="K18" s="53">
        <v>0</v>
      </c>
      <c r="L18" s="53">
        <v>0</v>
      </c>
      <c r="M18" s="53">
        <v>7</v>
      </c>
      <c r="N18" s="36"/>
      <c r="O18" s="36"/>
      <c r="P18" s="36"/>
      <c r="Q18" s="36"/>
      <c r="R18" s="36"/>
      <c r="S18" s="36"/>
    </row>
    <row r="19" spans="1:19" ht="24" customHeight="1" x14ac:dyDescent="0.35">
      <c r="A19" s="53"/>
      <c r="B19" s="61"/>
      <c r="C19" s="62"/>
      <c r="D19" s="39"/>
      <c r="E19" s="53"/>
      <c r="F19" s="53"/>
      <c r="G19" s="53"/>
      <c r="H19" s="53"/>
      <c r="I19" s="53"/>
      <c r="J19" s="53"/>
      <c r="K19" s="53"/>
      <c r="L19" s="53"/>
      <c r="M19" s="53"/>
      <c r="N19" s="36"/>
      <c r="O19" s="36"/>
      <c r="P19" s="36"/>
      <c r="Q19" s="36"/>
      <c r="R19" s="36"/>
      <c r="S19" s="36"/>
    </row>
    <row r="20" spans="1:19" ht="24" customHeight="1" x14ac:dyDescent="0.8">
      <c r="A20" s="53"/>
      <c r="B20" s="61"/>
      <c r="C20" s="15" t="s">
        <v>12</v>
      </c>
      <c r="D20" s="14" t="s">
        <v>22</v>
      </c>
      <c r="E20" s="14">
        <v>4</v>
      </c>
      <c r="F20" s="14">
        <v>4</v>
      </c>
      <c r="G20" s="14">
        <v>4</v>
      </c>
      <c r="H20" s="14">
        <v>4</v>
      </c>
      <c r="I20" s="14">
        <v>4</v>
      </c>
      <c r="J20" s="14">
        <v>4</v>
      </c>
      <c r="K20" s="14">
        <v>0</v>
      </c>
      <c r="L20" s="14">
        <v>0</v>
      </c>
      <c r="M20" s="14">
        <v>5</v>
      </c>
      <c r="N20" s="9"/>
      <c r="O20" s="9"/>
      <c r="P20" s="9"/>
      <c r="Q20" s="9"/>
      <c r="R20" s="9"/>
      <c r="S20" s="9"/>
    </row>
    <row r="21" spans="1:19" ht="24" customHeight="1" x14ac:dyDescent="0.8">
      <c r="A21" s="53"/>
      <c r="B21" s="61" t="s">
        <v>52</v>
      </c>
      <c r="C21" s="15" t="s">
        <v>53</v>
      </c>
      <c r="D21" s="14" t="s">
        <v>26</v>
      </c>
      <c r="E21" s="14">
        <v>3</v>
      </c>
      <c r="F21" s="14">
        <v>3</v>
      </c>
      <c r="G21" s="14">
        <v>3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3</v>
      </c>
      <c r="N21" s="9"/>
      <c r="O21" s="9"/>
      <c r="P21" s="9"/>
      <c r="Q21" s="9"/>
      <c r="R21" s="9"/>
      <c r="S21" s="9"/>
    </row>
    <row r="22" spans="1:19" ht="24" customHeight="1" x14ac:dyDescent="0.35">
      <c r="A22" s="53"/>
      <c r="B22" s="61"/>
      <c r="C22" s="62" t="s">
        <v>7</v>
      </c>
      <c r="D22" s="37" t="s">
        <v>54</v>
      </c>
      <c r="E22" s="53">
        <v>6</v>
      </c>
      <c r="F22" s="53">
        <v>6</v>
      </c>
      <c r="G22" s="53">
        <v>6</v>
      </c>
      <c r="H22" s="53">
        <v>6</v>
      </c>
      <c r="I22" s="53">
        <v>0</v>
      </c>
      <c r="J22" s="53">
        <v>0</v>
      </c>
      <c r="K22" s="53">
        <v>0</v>
      </c>
      <c r="L22" s="53">
        <v>0</v>
      </c>
      <c r="M22" s="53">
        <v>8</v>
      </c>
      <c r="N22" s="36"/>
      <c r="O22" s="36"/>
      <c r="P22" s="36"/>
      <c r="Q22" s="36"/>
      <c r="R22" s="36"/>
      <c r="S22" s="36"/>
    </row>
    <row r="23" spans="1:19" ht="24" customHeight="1" x14ac:dyDescent="0.35">
      <c r="A23" s="53"/>
      <c r="B23" s="61"/>
      <c r="C23" s="62"/>
      <c r="D23" s="39"/>
      <c r="E23" s="53"/>
      <c r="F23" s="53"/>
      <c r="G23" s="53"/>
      <c r="H23" s="53"/>
      <c r="I23" s="53"/>
      <c r="J23" s="53"/>
      <c r="K23" s="53"/>
      <c r="L23" s="53"/>
      <c r="M23" s="53"/>
      <c r="N23" s="36"/>
      <c r="O23" s="36"/>
      <c r="P23" s="36"/>
      <c r="Q23" s="36"/>
      <c r="R23" s="36"/>
      <c r="S23" s="36"/>
    </row>
    <row r="24" spans="1:19" ht="24" customHeight="1" x14ac:dyDescent="0.8">
      <c r="A24" s="53"/>
      <c r="B24" s="61"/>
      <c r="C24" s="15" t="s">
        <v>9</v>
      </c>
      <c r="D24" s="14" t="s">
        <v>26</v>
      </c>
      <c r="E24" s="14">
        <v>8</v>
      </c>
      <c r="F24" s="14">
        <v>8</v>
      </c>
      <c r="G24" s="14">
        <v>8</v>
      </c>
      <c r="H24" s="14">
        <v>8</v>
      </c>
      <c r="I24" s="14">
        <v>4</v>
      </c>
      <c r="J24" s="14">
        <v>0</v>
      </c>
      <c r="K24" s="14">
        <v>0</v>
      </c>
      <c r="L24" s="14">
        <v>0</v>
      </c>
      <c r="M24" s="14">
        <v>8</v>
      </c>
      <c r="N24" s="9"/>
      <c r="O24" s="9"/>
      <c r="P24" s="9"/>
      <c r="Q24" s="9"/>
      <c r="R24" s="9"/>
      <c r="S24" s="9"/>
    </row>
    <row r="25" spans="1:19" ht="24" customHeight="1" x14ac:dyDescent="0.8">
      <c r="A25" s="53"/>
      <c r="B25" s="61"/>
      <c r="C25" s="15" t="s">
        <v>55</v>
      </c>
      <c r="D25" s="14" t="s">
        <v>26</v>
      </c>
      <c r="E25" s="14">
        <v>5</v>
      </c>
      <c r="F25" s="14">
        <v>5</v>
      </c>
      <c r="G25" s="14">
        <v>5</v>
      </c>
      <c r="H25" s="14">
        <v>5</v>
      </c>
      <c r="I25" s="14">
        <v>5</v>
      </c>
      <c r="J25" s="14">
        <v>5</v>
      </c>
      <c r="K25" s="14">
        <v>0</v>
      </c>
      <c r="L25" s="14">
        <v>0</v>
      </c>
      <c r="M25" s="14">
        <v>5</v>
      </c>
      <c r="N25" s="9"/>
      <c r="O25" s="9"/>
      <c r="P25" s="9"/>
      <c r="Q25" s="9"/>
      <c r="R25" s="9"/>
      <c r="S25" s="9"/>
    </row>
    <row r="26" spans="1:19" ht="24" customHeight="1" x14ac:dyDescent="0.8">
      <c r="A26" s="53"/>
      <c r="B26" s="61"/>
      <c r="C26" s="15" t="s">
        <v>6</v>
      </c>
      <c r="D26" s="14" t="s">
        <v>20</v>
      </c>
      <c r="E26" s="14">
        <v>8</v>
      </c>
      <c r="F26" s="14">
        <v>8</v>
      </c>
      <c r="G26" s="14">
        <v>8</v>
      </c>
      <c r="H26" s="14">
        <v>8</v>
      </c>
      <c r="I26" s="14">
        <v>8</v>
      </c>
      <c r="J26" s="14">
        <v>8</v>
      </c>
      <c r="K26" s="14">
        <v>8</v>
      </c>
      <c r="L26" s="14">
        <v>0</v>
      </c>
      <c r="M26" s="14">
        <v>8</v>
      </c>
      <c r="N26" s="9"/>
      <c r="O26" s="9"/>
      <c r="P26" s="9"/>
      <c r="Q26" s="9"/>
      <c r="R26" s="9"/>
      <c r="S26" s="9"/>
    </row>
    <row r="27" spans="1:19" ht="24" customHeight="1" x14ac:dyDescent="0.8">
      <c r="A27" s="53"/>
      <c r="B27" s="61"/>
      <c r="C27" s="15" t="s">
        <v>12</v>
      </c>
      <c r="D27" s="14" t="s">
        <v>22</v>
      </c>
      <c r="E27" s="14">
        <v>4</v>
      </c>
      <c r="F27" s="14">
        <v>4</v>
      </c>
      <c r="G27" s="14">
        <v>4</v>
      </c>
      <c r="H27" s="14">
        <v>4</v>
      </c>
      <c r="I27" s="14">
        <v>4</v>
      </c>
      <c r="J27" s="14">
        <v>4</v>
      </c>
      <c r="K27" s="14">
        <v>4</v>
      </c>
      <c r="L27" s="14">
        <v>0</v>
      </c>
      <c r="M27" s="14">
        <v>5</v>
      </c>
      <c r="N27" s="9"/>
      <c r="O27" s="9"/>
      <c r="P27" s="9"/>
      <c r="Q27" s="12"/>
      <c r="R27" s="12"/>
      <c r="S27" s="12"/>
    </row>
    <row r="28" spans="1:19" ht="24" customHeight="1" x14ac:dyDescent="0.8">
      <c r="A28" s="53"/>
      <c r="B28" s="61" t="s">
        <v>56</v>
      </c>
      <c r="C28" s="15" t="s">
        <v>57</v>
      </c>
      <c r="D28" s="14" t="s">
        <v>26</v>
      </c>
      <c r="E28" s="14">
        <v>6</v>
      </c>
      <c r="F28" s="14">
        <v>6</v>
      </c>
      <c r="G28" s="14">
        <v>6</v>
      </c>
      <c r="H28" s="14">
        <v>6</v>
      </c>
      <c r="I28" s="14">
        <v>4</v>
      </c>
      <c r="J28" s="14">
        <v>0</v>
      </c>
      <c r="K28" s="14">
        <v>2</v>
      </c>
      <c r="L28" s="14">
        <v>0</v>
      </c>
      <c r="M28" s="14">
        <v>6</v>
      </c>
      <c r="N28" s="9"/>
      <c r="O28" s="9"/>
      <c r="P28" s="9"/>
      <c r="Q28" s="12"/>
      <c r="R28" s="12"/>
      <c r="S28" s="12"/>
    </row>
    <row r="29" spans="1:19" ht="24" customHeight="1" x14ac:dyDescent="0.35">
      <c r="A29" s="53"/>
      <c r="B29" s="61"/>
      <c r="C29" s="62" t="s">
        <v>7</v>
      </c>
      <c r="D29" s="37" t="s">
        <v>54</v>
      </c>
      <c r="E29" s="53">
        <v>4</v>
      </c>
      <c r="F29" s="53">
        <v>4</v>
      </c>
      <c r="G29" s="53">
        <v>4</v>
      </c>
      <c r="H29" s="53">
        <v>4</v>
      </c>
      <c r="I29" s="53">
        <v>4</v>
      </c>
      <c r="J29" s="53">
        <v>0</v>
      </c>
      <c r="K29" s="53">
        <v>0</v>
      </c>
      <c r="L29" s="53">
        <v>0</v>
      </c>
      <c r="M29" s="53">
        <v>6</v>
      </c>
      <c r="N29" s="36"/>
      <c r="O29" s="36"/>
      <c r="P29" s="36"/>
      <c r="Q29" s="63"/>
      <c r="R29" s="63"/>
      <c r="S29" s="63"/>
    </row>
    <row r="30" spans="1:19" ht="24" customHeight="1" x14ac:dyDescent="0.35">
      <c r="A30" s="53"/>
      <c r="B30" s="61"/>
      <c r="C30" s="62"/>
      <c r="D30" s="39"/>
      <c r="E30" s="53"/>
      <c r="F30" s="53"/>
      <c r="G30" s="53"/>
      <c r="H30" s="53"/>
      <c r="I30" s="53"/>
      <c r="J30" s="53"/>
      <c r="K30" s="53"/>
      <c r="L30" s="53"/>
      <c r="M30" s="53"/>
      <c r="N30" s="36"/>
      <c r="O30" s="36"/>
      <c r="P30" s="36"/>
      <c r="Q30" s="63"/>
      <c r="R30" s="63"/>
      <c r="S30" s="63"/>
    </row>
    <row r="31" spans="1:19" ht="24" customHeight="1" x14ac:dyDescent="0.8">
      <c r="A31" s="53"/>
      <c r="B31" s="61"/>
      <c r="C31" s="15" t="s">
        <v>58</v>
      </c>
      <c r="D31" s="14" t="s">
        <v>26</v>
      </c>
      <c r="E31" s="14">
        <v>5</v>
      </c>
      <c r="F31" s="14">
        <v>5</v>
      </c>
      <c r="G31" s="14">
        <v>5</v>
      </c>
      <c r="H31" s="14">
        <v>5</v>
      </c>
      <c r="I31" s="14">
        <v>5</v>
      </c>
      <c r="J31" s="14">
        <v>4</v>
      </c>
      <c r="K31" s="14">
        <v>0</v>
      </c>
      <c r="L31" s="14">
        <v>0</v>
      </c>
      <c r="M31" s="14">
        <v>5</v>
      </c>
      <c r="N31" s="9"/>
      <c r="O31" s="9"/>
      <c r="P31" s="9"/>
      <c r="Q31" s="12"/>
      <c r="R31" s="12"/>
      <c r="S31" s="12"/>
    </row>
    <row r="32" spans="1:19" ht="24" customHeight="1" x14ac:dyDescent="0.8">
      <c r="A32" s="53"/>
      <c r="B32" s="61"/>
      <c r="C32" s="15" t="s">
        <v>59</v>
      </c>
      <c r="D32" s="14" t="s">
        <v>26</v>
      </c>
      <c r="E32" s="14">
        <v>2</v>
      </c>
      <c r="F32" s="14">
        <v>2</v>
      </c>
      <c r="G32" s="14">
        <v>2</v>
      </c>
      <c r="H32" s="14">
        <v>2</v>
      </c>
      <c r="I32" s="14">
        <v>2</v>
      </c>
      <c r="J32" s="14">
        <v>2</v>
      </c>
      <c r="K32" s="14">
        <v>0</v>
      </c>
      <c r="L32" s="14">
        <v>0</v>
      </c>
      <c r="M32" s="14">
        <v>2</v>
      </c>
      <c r="N32" s="9"/>
      <c r="O32" s="9"/>
      <c r="P32" s="9"/>
      <c r="Q32" s="12"/>
      <c r="R32" s="12"/>
      <c r="S32" s="12"/>
    </row>
    <row r="33" spans="1:32" ht="24" customHeight="1" x14ac:dyDescent="0.8">
      <c r="A33" s="53"/>
      <c r="B33" s="61"/>
      <c r="C33" s="15" t="s">
        <v>6</v>
      </c>
      <c r="D33" s="14" t="s">
        <v>20</v>
      </c>
      <c r="E33" s="14">
        <v>8</v>
      </c>
      <c r="F33" s="14">
        <v>8</v>
      </c>
      <c r="G33" s="14">
        <v>8</v>
      </c>
      <c r="H33" s="14">
        <v>8</v>
      </c>
      <c r="I33" s="14">
        <v>8</v>
      </c>
      <c r="J33" s="14">
        <v>8</v>
      </c>
      <c r="K33" s="14">
        <v>8</v>
      </c>
      <c r="L33" s="14">
        <v>0</v>
      </c>
      <c r="M33" s="14">
        <v>8</v>
      </c>
      <c r="N33" s="9"/>
      <c r="O33" s="9"/>
      <c r="P33" s="9"/>
      <c r="Q33" s="12"/>
      <c r="R33" s="12"/>
      <c r="S33" s="12"/>
    </row>
    <row r="34" spans="1:32" ht="24" customHeight="1" x14ac:dyDescent="0.8">
      <c r="A34" s="53"/>
      <c r="B34" s="61"/>
      <c r="C34" s="15" t="s">
        <v>12</v>
      </c>
      <c r="D34" s="14" t="s">
        <v>22</v>
      </c>
      <c r="E34" s="14">
        <v>4</v>
      </c>
      <c r="F34" s="14">
        <v>4</v>
      </c>
      <c r="G34" s="14">
        <v>4</v>
      </c>
      <c r="H34" s="14">
        <v>4</v>
      </c>
      <c r="I34" s="14">
        <v>4</v>
      </c>
      <c r="J34" s="14">
        <v>4</v>
      </c>
      <c r="K34" s="14">
        <v>4</v>
      </c>
      <c r="L34" s="14">
        <v>0</v>
      </c>
      <c r="M34" s="14">
        <v>6</v>
      </c>
      <c r="N34" s="9"/>
      <c r="O34" s="9"/>
      <c r="P34" s="9"/>
      <c r="Q34" s="9"/>
      <c r="R34" s="9"/>
      <c r="S34" s="9"/>
    </row>
    <row r="35" spans="1:32" ht="24" customHeight="1" x14ac:dyDescent="0.8">
      <c r="A35" s="53"/>
      <c r="B35" s="33" t="s">
        <v>11</v>
      </c>
      <c r="C35" s="33"/>
      <c r="D35" s="18"/>
      <c r="E35" s="13">
        <v>119</v>
      </c>
      <c r="F35" s="14">
        <f>SUM(F7:F34)</f>
        <v>119</v>
      </c>
      <c r="G35" s="14">
        <f t="shared" ref="G35:L35" si="0">SUM(G7:G34)</f>
        <v>109</v>
      </c>
      <c r="H35" s="14">
        <f>SUM(H7:H34)</f>
        <v>96</v>
      </c>
      <c r="I35" s="14">
        <f t="shared" si="0"/>
        <v>68</v>
      </c>
      <c r="J35" s="14">
        <f t="shared" si="0"/>
        <v>45</v>
      </c>
      <c r="K35" s="14">
        <f t="shared" si="0"/>
        <v>26</v>
      </c>
      <c r="L35" s="14">
        <f t="shared" si="0"/>
        <v>0</v>
      </c>
      <c r="M35" s="13">
        <v>130</v>
      </c>
      <c r="N35" s="9"/>
      <c r="O35" s="9"/>
      <c r="P35" s="9"/>
      <c r="Q35" s="9"/>
      <c r="R35" s="9"/>
      <c r="S35" s="9"/>
    </row>
    <row r="36" spans="1:32" ht="24" customHeight="1" x14ac:dyDescent="0.35"/>
    <row r="37" spans="1:32" ht="24" customHeight="1" x14ac:dyDescent="0.35"/>
    <row r="38" spans="1:32" ht="24" customHeight="1" x14ac:dyDescent="0.35">
      <c r="X38" s="32"/>
      <c r="Y38" s="32"/>
      <c r="Z38" s="32"/>
      <c r="AA38" s="32"/>
      <c r="AB38" s="32"/>
      <c r="AC38" s="32"/>
      <c r="AD38" s="32"/>
      <c r="AE38" s="32"/>
      <c r="AF38" s="32"/>
    </row>
    <row r="39" spans="1:32" ht="24" customHeight="1" x14ac:dyDescent="0.35">
      <c r="X39" s="32"/>
      <c r="Y39" s="32"/>
      <c r="Z39" s="32"/>
      <c r="AA39" s="32"/>
      <c r="AB39" s="32"/>
      <c r="AC39" s="32"/>
      <c r="AD39" s="32"/>
      <c r="AE39" s="32"/>
      <c r="AF39" s="32"/>
    </row>
    <row r="40" spans="1:32" ht="24" customHeight="1" x14ac:dyDescent="0.35">
      <c r="X40" s="32"/>
      <c r="Y40" s="32"/>
      <c r="Z40" s="32"/>
      <c r="AA40" s="32"/>
      <c r="AB40" s="32"/>
      <c r="AC40" s="32"/>
      <c r="AD40" s="32"/>
      <c r="AE40" s="32"/>
      <c r="AF40" s="32"/>
    </row>
    <row r="41" spans="1:32" ht="24" customHeight="1" x14ac:dyDescent="0.35">
      <c r="A41" s="54" t="s">
        <v>0</v>
      </c>
      <c r="B41" s="54" t="s">
        <v>1</v>
      </c>
      <c r="C41" s="54" t="s">
        <v>2</v>
      </c>
      <c r="D41" s="54" t="s">
        <v>29</v>
      </c>
      <c r="E41" s="56" t="s">
        <v>3</v>
      </c>
      <c r="F41" s="58" t="s">
        <v>4</v>
      </c>
      <c r="G41" s="59"/>
      <c r="H41" s="59"/>
      <c r="I41" s="59"/>
      <c r="J41" s="59"/>
      <c r="K41" s="59"/>
      <c r="L41" s="60"/>
      <c r="M41" s="54" t="s">
        <v>30</v>
      </c>
    </row>
    <row r="42" spans="1:32" ht="24" customHeight="1" x14ac:dyDescent="0.35">
      <c r="A42" s="55"/>
      <c r="B42" s="55"/>
      <c r="C42" s="55"/>
      <c r="D42" s="55"/>
      <c r="E42" s="57"/>
      <c r="F42" s="13">
        <v>1</v>
      </c>
      <c r="G42" s="13">
        <v>2</v>
      </c>
      <c r="H42" s="13">
        <v>3</v>
      </c>
      <c r="I42" s="13">
        <v>4</v>
      </c>
      <c r="J42" s="13">
        <v>5</v>
      </c>
      <c r="K42" s="13">
        <v>6</v>
      </c>
      <c r="L42" s="13">
        <v>7</v>
      </c>
      <c r="M42" s="55"/>
    </row>
    <row r="43" spans="1:32" ht="24" customHeight="1" x14ac:dyDescent="0.35">
      <c r="A43" s="47">
        <v>2</v>
      </c>
      <c r="B43" s="37" t="s">
        <v>31</v>
      </c>
      <c r="C43" s="15" t="s">
        <v>10</v>
      </c>
      <c r="D43" s="14" t="s">
        <v>26</v>
      </c>
      <c r="E43" s="14">
        <v>3</v>
      </c>
      <c r="F43" s="14">
        <v>3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3</v>
      </c>
    </row>
    <row r="44" spans="1:32" ht="24" customHeight="1" x14ac:dyDescent="0.35">
      <c r="A44" s="48"/>
      <c r="B44" s="38"/>
      <c r="C44" s="15" t="s">
        <v>35</v>
      </c>
      <c r="D44" s="14" t="s">
        <v>26</v>
      </c>
      <c r="E44" s="14">
        <v>8</v>
      </c>
      <c r="F44" s="14">
        <v>8</v>
      </c>
      <c r="G44" s="14">
        <v>4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8</v>
      </c>
    </row>
    <row r="45" spans="1:32" ht="24" customHeight="1" x14ac:dyDescent="0.35">
      <c r="A45" s="48"/>
      <c r="B45" s="38"/>
      <c r="C45" s="19" t="s">
        <v>7</v>
      </c>
      <c r="D45" s="20" t="s">
        <v>18</v>
      </c>
      <c r="E45" s="14">
        <v>4</v>
      </c>
      <c r="F45" s="14">
        <v>4</v>
      </c>
      <c r="G45" s="14">
        <v>4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2</v>
      </c>
    </row>
    <row r="46" spans="1:32" ht="24" customHeight="1" x14ac:dyDescent="0.35">
      <c r="A46" s="48"/>
      <c r="B46" s="38"/>
      <c r="C46" s="19" t="s">
        <v>8</v>
      </c>
      <c r="D46" s="20" t="s">
        <v>26</v>
      </c>
      <c r="E46" s="14">
        <v>8</v>
      </c>
      <c r="F46" s="14">
        <v>8</v>
      </c>
      <c r="G46" s="14">
        <v>8</v>
      </c>
      <c r="H46" s="14">
        <v>2</v>
      </c>
      <c r="I46" s="14">
        <v>0</v>
      </c>
      <c r="J46" s="14">
        <v>0</v>
      </c>
      <c r="K46" s="14">
        <v>0</v>
      </c>
      <c r="L46" s="14">
        <v>0</v>
      </c>
      <c r="M46" s="14">
        <v>8</v>
      </c>
    </row>
    <row r="47" spans="1:32" ht="71.5" customHeight="1" x14ac:dyDescent="0.35">
      <c r="A47" s="48"/>
      <c r="B47" s="38"/>
      <c r="C47" s="15" t="s">
        <v>6</v>
      </c>
      <c r="D47" s="20" t="s">
        <v>41</v>
      </c>
      <c r="E47" s="14">
        <v>8</v>
      </c>
      <c r="F47" s="14">
        <v>8</v>
      </c>
      <c r="G47" s="14">
        <v>8</v>
      </c>
      <c r="H47" s="14">
        <v>7</v>
      </c>
      <c r="I47" s="14">
        <v>7</v>
      </c>
      <c r="J47" s="14">
        <v>0</v>
      </c>
      <c r="K47" s="14">
        <v>0</v>
      </c>
      <c r="L47" s="14">
        <v>0</v>
      </c>
      <c r="M47" s="14">
        <v>10</v>
      </c>
    </row>
    <row r="48" spans="1:32" ht="24" customHeight="1" x14ac:dyDescent="0.8">
      <c r="A48" s="48"/>
      <c r="B48" s="39"/>
      <c r="C48" s="17" t="s">
        <v>12</v>
      </c>
      <c r="D48" s="14" t="s">
        <v>22</v>
      </c>
      <c r="E48" s="14">
        <v>5</v>
      </c>
      <c r="F48" s="14">
        <v>5</v>
      </c>
      <c r="G48" s="14">
        <v>5</v>
      </c>
      <c r="H48" s="14">
        <v>5</v>
      </c>
      <c r="I48" s="14">
        <v>5</v>
      </c>
      <c r="J48" s="14">
        <v>3</v>
      </c>
      <c r="K48" s="14">
        <v>0</v>
      </c>
      <c r="L48" s="14">
        <v>0</v>
      </c>
      <c r="M48" s="14">
        <v>5</v>
      </c>
    </row>
    <row r="49" spans="1:13" ht="24" customHeight="1" x14ac:dyDescent="0.8">
      <c r="A49" s="48"/>
      <c r="B49" s="37" t="s">
        <v>32</v>
      </c>
      <c r="C49" s="17" t="s">
        <v>10</v>
      </c>
      <c r="D49" s="14" t="s">
        <v>26</v>
      </c>
      <c r="E49" s="16">
        <v>3</v>
      </c>
      <c r="F49" s="16">
        <v>3</v>
      </c>
      <c r="G49" s="16">
        <v>3</v>
      </c>
      <c r="H49" s="16">
        <v>0</v>
      </c>
      <c r="I49" s="16">
        <v>0</v>
      </c>
      <c r="J49" s="16">
        <v>0</v>
      </c>
      <c r="K49" s="16">
        <v>0</v>
      </c>
      <c r="L49" s="14">
        <v>0</v>
      </c>
      <c r="M49" s="14">
        <v>4</v>
      </c>
    </row>
    <row r="50" spans="1:13" ht="24" customHeight="1" x14ac:dyDescent="0.35">
      <c r="A50" s="48"/>
      <c r="B50" s="38"/>
      <c r="C50" s="19" t="s">
        <v>36</v>
      </c>
      <c r="D50" s="20" t="s">
        <v>26</v>
      </c>
      <c r="E50" s="14">
        <v>7</v>
      </c>
      <c r="F50" s="14">
        <v>7</v>
      </c>
      <c r="G50" s="14">
        <v>7</v>
      </c>
      <c r="H50" s="14">
        <v>3</v>
      </c>
      <c r="I50" s="14">
        <v>0</v>
      </c>
      <c r="J50" s="14">
        <v>0</v>
      </c>
      <c r="K50" s="14">
        <v>0</v>
      </c>
      <c r="L50" s="14">
        <v>0</v>
      </c>
      <c r="M50" s="14">
        <v>8</v>
      </c>
    </row>
    <row r="51" spans="1:13" ht="24" customHeight="1" x14ac:dyDescent="0.35">
      <c r="A51" s="48"/>
      <c r="B51" s="38"/>
      <c r="C51" s="19" t="s">
        <v>7</v>
      </c>
      <c r="D51" s="20" t="s">
        <v>26</v>
      </c>
      <c r="E51" s="14">
        <v>4</v>
      </c>
      <c r="F51" s="14">
        <v>4</v>
      </c>
      <c r="G51" s="14">
        <v>4</v>
      </c>
      <c r="H51" s="14">
        <v>4</v>
      </c>
      <c r="I51" s="14">
        <v>0</v>
      </c>
      <c r="J51" s="14">
        <v>0</v>
      </c>
      <c r="K51" s="14">
        <v>0</v>
      </c>
      <c r="L51" s="14">
        <v>0</v>
      </c>
      <c r="M51" s="14">
        <v>3</v>
      </c>
    </row>
    <row r="52" spans="1:13" ht="24" customHeight="1" x14ac:dyDescent="0.35">
      <c r="A52" s="48"/>
      <c r="B52" s="38"/>
      <c r="C52" s="15" t="s">
        <v>37</v>
      </c>
      <c r="D52" s="14" t="s">
        <v>26</v>
      </c>
      <c r="E52" s="14">
        <v>7</v>
      </c>
      <c r="F52" s="14">
        <v>7</v>
      </c>
      <c r="G52" s="14">
        <v>7</v>
      </c>
      <c r="H52" s="14">
        <v>7</v>
      </c>
      <c r="I52" s="14">
        <v>7</v>
      </c>
      <c r="J52" s="14">
        <v>0</v>
      </c>
      <c r="K52" s="14">
        <v>0</v>
      </c>
      <c r="L52" s="14">
        <v>0</v>
      </c>
      <c r="M52" s="14">
        <v>9</v>
      </c>
    </row>
    <row r="53" spans="1:13" ht="24" customHeight="1" x14ac:dyDescent="0.35">
      <c r="A53" s="48"/>
      <c r="B53" s="38"/>
      <c r="C53" s="19" t="s">
        <v>6</v>
      </c>
      <c r="D53" s="20" t="s">
        <v>20</v>
      </c>
      <c r="E53" s="14">
        <v>8</v>
      </c>
      <c r="F53" s="14">
        <v>8</v>
      </c>
      <c r="G53" s="14">
        <v>8</v>
      </c>
      <c r="H53" s="14">
        <v>7</v>
      </c>
      <c r="I53" s="14">
        <v>7</v>
      </c>
      <c r="J53" s="14">
        <v>2</v>
      </c>
      <c r="K53" s="14">
        <v>0</v>
      </c>
      <c r="L53" s="14">
        <v>0</v>
      </c>
      <c r="M53" s="14">
        <v>6</v>
      </c>
    </row>
    <row r="54" spans="1:13" ht="24" customHeight="1" x14ac:dyDescent="0.8">
      <c r="A54" s="48"/>
      <c r="B54" s="39"/>
      <c r="C54" s="17" t="s">
        <v>12</v>
      </c>
      <c r="D54" s="14" t="s">
        <v>22</v>
      </c>
      <c r="E54" s="16">
        <v>5</v>
      </c>
      <c r="F54" s="16">
        <v>5</v>
      </c>
      <c r="G54" s="16">
        <v>5</v>
      </c>
      <c r="H54" s="16">
        <v>5</v>
      </c>
      <c r="I54" s="16">
        <v>5</v>
      </c>
      <c r="J54" s="16">
        <v>5</v>
      </c>
      <c r="K54" s="16">
        <v>0</v>
      </c>
      <c r="L54" s="14">
        <v>0</v>
      </c>
      <c r="M54" s="14">
        <v>5</v>
      </c>
    </row>
    <row r="55" spans="1:13" ht="24" customHeight="1" x14ac:dyDescent="0.35">
      <c r="A55" s="48"/>
      <c r="B55" s="37" t="s">
        <v>33</v>
      </c>
      <c r="C55" s="15" t="s">
        <v>10</v>
      </c>
      <c r="D55" s="14" t="s">
        <v>26</v>
      </c>
      <c r="E55" s="14">
        <v>3</v>
      </c>
      <c r="F55" s="14">
        <v>3</v>
      </c>
      <c r="G55" s="14">
        <v>3</v>
      </c>
      <c r="H55" s="14">
        <v>3</v>
      </c>
      <c r="I55" s="14">
        <v>0</v>
      </c>
      <c r="J55" s="14">
        <v>0</v>
      </c>
      <c r="K55" s="14">
        <v>0</v>
      </c>
      <c r="L55" s="14">
        <v>0</v>
      </c>
      <c r="M55" s="14">
        <v>2</v>
      </c>
    </row>
    <row r="56" spans="1:13" ht="24" customHeight="1" x14ac:dyDescent="0.35">
      <c r="A56" s="48"/>
      <c r="B56" s="38"/>
      <c r="C56" s="19" t="s">
        <v>38</v>
      </c>
      <c r="D56" s="20" t="s">
        <v>26</v>
      </c>
      <c r="E56" s="14">
        <v>6</v>
      </c>
      <c r="F56" s="14">
        <v>6</v>
      </c>
      <c r="G56" s="14">
        <v>6</v>
      </c>
      <c r="H56" s="14">
        <v>6</v>
      </c>
      <c r="I56" s="14">
        <v>2</v>
      </c>
      <c r="J56" s="14">
        <v>0</v>
      </c>
      <c r="K56" s="14">
        <v>0</v>
      </c>
      <c r="L56" s="14">
        <v>0</v>
      </c>
      <c r="M56" s="14">
        <v>8</v>
      </c>
    </row>
    <row r="57" spans="1:13" ht="24" customHeight="1" x14ac:dyDescent="0.35">
      <c r="A57" s="48"/>
      <c r="B57" s="38"/>
      <c r="C57" s="19" t="s">
        <v>7</v>
      </c>
      <c r="D57" s="20" t="s">
        <v>26</v>
      </c>
      <c r="E57" s="14">
        <v>4</v>
      </c>
      <c r="F57" s="14">
        <v>4</v>
      </c>
      <c r="G57" s="14">
        <v>4</v>
      </c>
      <c r="H57" s="14">
        <v>4</v>
      </c>
      <c r="I57" s="14">
        <v>4</v>
      </c>
      <c r="J57" s="14">
        <v>0</v>
      </c>
      <c r="K57" s="14">
        <v>0</v>
      </c>
      <c r="L57" s="14">
        <v>0</v>
      </c>
      <c r="M57" s="14">
        <v>3</v>
      </c>
    </row>
    <row r="58" spans="1:13" ht="24" customHeight="1" x14ac:dyDescent="0.35">
      <c r="A58" s="48"/>
      <c r="B58" s="38"/>
      <c r="C58" s="15" t="s">
        <v>9</v>
      </c>
      <c r="D58" s="14" t="s">
        <v>26</v>
      </c>
      <c r="E58" s="14">
        <v>7</v>
      </c>
      <c r="F58" s="14">
        <v>7</v>
      </c>
      <c r="G58" s="14">
        <v>7</v>
      </c>
      <c r="H58" s="14">
        <v>7</v>
      </c>
      <c r="I58" s="14">
        <v>7</v>
      </c>
      <c r="J58" s="14">
        <v>3</v>
      </c>
      <c r="K58" s="14">
        <v>0</v>
      </c>
      <c r="L58" s="14">
        <v>0</v>
      </c>
      <c r="M58" s="14">
        <v>7</v>
      </c>
    </row>
    <row r="59" spans="1:13" ht="24" customHeight="1" x14ac:dyDescent="0.8">
      <c r="A59" s="48"/>
      <c r="B59" s="38"/>
      <c r="C59" s="17" t="s">
        <v>39</v>
      </c>
      <c r="D59" s="14" t="s">
        <v>26</v>
      </c>
      <c r="E59" s="16">
        <v>6</v>
      </c>
      <c r="F59" s="16">
        <v>6</v>
      </c>
      <c r="G59" s="16">
        <v>6</v>
      </c>
      <c r="H59" s="16">
        <v>6</v>
      </c>
      <c r="I59" s="16">
        <v>6</v>
      </c>
      <c r="J59" s="16">
        <v>6</v>
      </c>
      <c r="K59" s="16">
        <v>2</v>
      </c>
      <c r="L59" s="14">
        <v>0</v>
      </c>
      <c r="M59" s="14">
        <v>6</v>
      </c>
    </row>
    <row r="60" spans="1:13" ht="24" customHeight="1" x14ac:dyDescent="0.8">
      <c r="A60" s="48"/>
      <c r="B60" s="38"/>
      <c r="C60" s="17" t="s">
        <v>6</v>
      </c>
      <c r="D60" s="14" t="s">
        <v>16</v>
      </c>
      <c r="E60" s="16">
        <v>8</v>
      </c>
      <c r="F60" s="16">
        <v>8</v>
      </c>
      <c r="G60" s="16">
        <v>8</v>
      </c>
      <c r="H60" s="16">
        <v>7</v>
      </c>
      <c r="I60" s="16">
        <v>7</v>
      </c>
      <c r="J60" s="16">
        <v>6</v>
      </c>
      <c r="K60" s="16">
        <v>6</v>
      </c>
      <c r="L60" s="14">
        <v>0</v>
      </c>
      <c r="M60" s="14">
        <v>6</v>
      </c>
    </row>
    <row r="61" spans="1:13" ht="24" customHeight="1" x14ac:dyDescent="0.8">
      <c r="A61" s="48"/>
      <c r="B61" s="39"/>
      <c r="C61" s="17" t="s">
        <v>12</v>
      </c>
      <c r="D61" s="14" t="s">
        <v>22</v>
      </c>
      <c r="E61" s="16">
        <v>5</v>
      </c>
      <c r="F61" s="16">
        <v>5</v>
      </c>
      <c r="G61" s="16">
        <v>5</v>
      </c>
      <c r="H61" s="16">
        <v>5</v>
      </c>
      <c r="I61" s="16">
        <v>5</v>
      </c>
      <c r="J61" s="16">
        <v>5</v>
      </c>
      <c r="K61" s="16">
        <v>5</v>
      </c>
      <c r="L61" s="14">
        <v>0</v>
      </c>
      <c r="M61" s="14">
        <v>5</v>
      </c>
    </row>
    <row r="62" spans="1:13" ht="24" customHeight="1" x14ac:dyDescent="0.35">
      <c r="A62" s="48"/>
      <c r="B62" s="21"/>
      <c r="C62" s="22" t="s">
        <v>40</v>
      </c>
      <c r="D62" s="21" t="s">
        <v>26</v>
      </c>
      <c r="E62" s="21">
        <v>2</v>
      </c>
      <c r="F62" s="21">
        <v>2</v>
      </c>
      <c r="G62" s="21">
        <v>2</v>
      </c>
      <c r="H62" s="21">
        <v>2</v>
      </c>
      <c r="I62" s="21">
        <v>2</v>
      </c>
      <c r="J62" s="21">
        <v>2</v>
      </c>
      <c r="K62" s="21">
        <v>2</v>
      </c>
      <c r="L62" s="21">
        <v>0</v>
      </c>
      <c r="M62" s="21">
        <v>2</v>
      </c>
    </row>
    <row r="63" spans="1:13" ht="24" customHeight="1" x14ac:dyDescent="0.8">
      <c r="A63" s="49"/>
      <c r="B63" s="50" t="s">
        <v>11</v>
      </c>
      <c r="C63" s="51"/>
      <c r="D63" s="52"/>
      <c r="E63" s="13">
        <f>SUM(E43:E62)</f>
        <v>111</v>
      </c>
      <c r="F63" s="14">
        <f>SUM(F43:F62)</f>
        <v>111</v>
      </c>
      <c r="G63" s="14">
        <f>SUM(G43:G62)</f>
        <v>104</v>
      </c>
      <c r="H63" s="14">
        <f t="shared" ref="H63:L63" si="1">SUM(H43:H62)</f>
        <v>80</v>
      </c>
      <c r="I63" s="14">
        <f t="shared" si="1"/>
        <v>64</v>
      </c>
      <c r="J63" s="14">
        <f t="shared" si="1"/>
        <v>32</v>
      </c>
      <c r="K63" s="14">
        <f t="shared" si="1"/>
        <v>15</v>
      </c>
      <c r="L63" s="14">
        <f t="shared" si="1"/>
        <v>0</v>
      </c>
      <c r="M63" s="13">
        <f>SUM(M43:M62)</f>
        <v>110</v>
      </c>
    </row>
    <row r="64" spans="1:13" ht="24" customHeight="1" x14ac:dyDescent="0.35"/>
    <row r="65" spans="1:13" ht="24" customHeight="1" x14ac:dyDescent="0.35"/>
    <row r="66" spans="1:13" ht="24" customHeight="1" x14ac:dyDescent="0.35"/>
    <row r="67" spans="1:13" ht="24" customHeight="1" x14ac:dyDescent="0.35"/>
    <row r="68" spans="1:13" ht="24" customHeight="1" x14ac:dyDescent="0.35"/>
    <row r="69" spans="1:13" ht="24" customHeight="1" x14ac:dyDescent="0.35">
      <c r="A69" s="54" t="s">
        <v>0</v>
      </c>
      <c r="B69" s="54" t="s">
        <v>1</v>
      </c>
      <c r="C69" s="54" t="s">
        <v>2</v>
      </c>
      <c r="D69" s="54" t="s">
        <v>29</v>
      </c>
      <c r="E69" s="56" t="s">
        <v>3</v>
      </c>
      <c r="F69" s="58" t="s">
        <v>4</v>
      </c>
      <c r="G69" s="59"/>
      <c r="H69" s="59"/>
      <c r="I69" s="59"/>
      <c r="J69" s="59"/>
      <c r="K69" s="59"/>
      <c r="L69" s="60"/>
      <c r="M69" s="54" t="s">
        <v>30</v>
      </c>
    </row>
    <row r="70" spans="1:13" ht="24" customHeight="1" x14ac:dyDescent="0.35">
      <c r="A70" s="55"/>
      <c r="B70" s="55"/>
      <c r="C70" s="55"/>
      <c r="D70" s="55"/>
      <c r="E70" s="57"/>
      <c r="F70" s="13">
        <v>1</v>
      </c>
      <c r="G70" s="13">
        <v>2</v>
      </c>
      <c r="H70" s="13">
        <v>3</v>
      </c>
      <c r="I70" s="13">
        <v>4</v>
      </c>
      <c r="J70" s="13">
        <v>5</v>
      </c>
      <c r="K70" s="13">
        <v>6</v>
      </c>
      <c r="L70" s="13">
        <v>7</v>
      </c>
      <c r="M70" s="55"/>
    </row>
    <row r="71" spans="1:13" ht="24" customHeight="1" x14ac:dyDescent="0.8">
      <c r="A71" s="47">
        <v>3</v>
      </c>
      <c r="B71" s="37" t="s">
        <v>32</v>
      </c>
      <c r="C71" s="17" t="s">
        <v>63</v>
      </c>
      <c r="D71" s="14" t="s">
        <v>26</v>
      </c>
      <c r="E71" s="16">
        <v>3</v>
      </c>
      <c r="F71" s="16">
        <v>3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4">
        <v>0</v>
      </c>
      <c r="M71" s="14">
        <v>3</v>
      </c>
    </row>
    <row r="72" spans="1:13" ht="24" customHeight="1" x14ac:dyDescent="0.35">
      <c r="A72" s="48"/>
      <c r="B72" s="38"/>
      <c r="C72" s="19" t="s">
        <v>64</v>
      </c>
      <c r="D72" s="20" t="s">
        <v>26</v>
      </c>
      <c r="E72" s="14">
        <v>8</v>
      </c>
      <c r="F72" s="14">
        <v>8</v>
      </c>
      <c r="G72" s="14">
        <v>6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8</v>
      </c>
    </row>
    <row r="73" spans="1:13" ht="24" customHeight="1" x14ac:dyDescent="0.35">
      <c r="A73" s="48"/>
      <c r="B73" s="38"/>
      <c r="C73" s="19" t="s">
        <v>66</v>
      </c>
      <c r="D73" s="20" t="s">
        <v>18</v>
      </c>
      <c r="E73" s="14">
        <v>4</v>
      </c>
      <c r="F73" s="14">
        <v>4</v>
      </c>
      <c r="G73" s="14">
        <v>4</v>
      </c>
      <c r="H73" s="14">
        <v>4</v>
      </c>
      <c r="I73" s="14">
        <v>0</v>
      </c>
      <c r="J73" s="14">
        <v>0</v>
      </c>
      <c r="K73" s="14">
        <v>0</v>
      </c>
      <c r="L73" s="14">
        <v>0</v>
      </c>
      <c r="M73" s="14">
        <v>3</v>
      </c>
    </row>
    <row r="74" spans="1:13" ht="24" customHeight="1" x14ac:dyDescent="0.35">
      <c r="A74" s="48"/>
      <c r="B74" s="38"/>
      <c r="C74" s="15" t="s">
        <v>65</v>
      </c>
      <c r="D74" s="14" t="s">
        <v>26</v>
      </c>
      <c r="E74" s="14">
        <v>8</v>
      </c>
      <c r="F74" s="14">
        <v>8</v>
      </c>
      <c r="G74" s="14">
        <v>8</v>
      </c>
      <c r="H74" s="14">
        <v>8</v>
      </c>
      <c r="I74" s="14">
        <v>5</v>
      </c>
      <c r="J74" s="14">
        <v>0</v>
      </c>
      <c r="K74" s="14">
        <v>0</v>
      </c>
      <c r="L74" s="14">
        <v>0</v>
      </c>
      <c r="M74" s="14">
        <v>8</v>
      </c>
    </row>
    <row r="75" spans="1:13" ht="48" customHeight="1" x14ac:dyDescent="0.35">
      <c r="A75" s="48"/>
      <c r="B75" s="38"/>
      <c r="C75" s="19" t="s">
        <v>6</v>
      </c>
      <c r="D75" s="20" t="s">
        <v>67</v>
      </c>
      <c r="E75" s="14">
        <v>10</v>
      </c>
      <c r="F75" s="14">
        <v>10</v>
      </c>
      <c r="G75" s="14">
        <v>10</v>
      </c>
      <c r="H75" s="14">
        <v>10</v>
      </c>
      <c r="I75" s="14">
        <v>10</v>
      </c>
      <c r="J75" s="14">
        <v>8</v>
      </c>
      <c r="K75" s="14">
        <v>0</v>
      </c>
      <c r="L75" s="14">
        <v>0</v>
      </c>
      <c r="M75" s="14">
        <v>10</v>
      </c>
    </row>
    <row r="76" spans="1:13" ht="24" customHeight="1" x14ac:dyDescent="0.8">
      <c r="A76" s="48"/>
      <c r="B76" s="38"/>
      <c r="C76" s="17" t="s">
        <v>12</v>
      </c>
      <c r="D76" s="14" t="s">
        <v>22</v>
      </c>
      <c r="E76" s="16">
        <v>5</v>
      </c>
      <c r="F76" s="16">
        <v>5</v>
      </c>
      <c r="G76" s="16">
        <v>5</v>
      </c>
      <c r="H76" s="16">
        <v>5</v>
      </c>
      <c r="I76" s="16">
        <v>5</v>
      </c>
      <c r="J76" s="16">
        <v>5</v>
      </c>
      <c r="K76" s="16">
        <v>5</v>
      </c>
      <c r="L76" s="14">
        <v>0</v>
      </c>
      <c r="M76" s="14">
        <v>3</v>
      </c>
    </row>
    <row r="77" spans="1:13" ht="24" customHeight="1" x14ac:dyDescent="0.35">
      <c r="A77" s="48"/>
      <c r="B77" s="39"/>
      <c r="C77" s="22" t="s">
        <v>40</v>
      </c>
      <c r="D77" s="21" t="s">
        <v>26</v>
      </c>
      <c r="E77" s="21">
        <v>2</v>
      </c>
      <c r="F77" s="21">
        <v>2</v>
      </c>
      <c r="G77" s="21">
        <v>2</v>
      </c>
      <c r="H77" s="21">
        <v>2</v>
      </c>
      <c r="I77" s="21">
        <v>2</v>
      </c>
      <c r="J77" s="21">
        <v>2</v>
      </c>
      <c r="K77" s="21">
        <v>2</v>
      </c>
      <c r="L77" s="21">
        <v>0</v>
      </c>
      <c r="M77" s="21">
        <v>2</v>
      </c>
    </row>
    <row r="78" spans="1:13" ht="24" customHeight="1" x14ac:dyDescent="0.8">
      <c r="A78" s="49"/>
      <c r="B78" s="50" t="s">
        <v>11</v>
      </c>
      <c r="C78" s="51"/>
      <c r="D78" s="52"/>
      <c r="E78" s="13">
        <f>SUM(E71:E77)</f>
        <v>40</v>
      </c>
      <c r="F78" s="14">
        <f>SUM(F71:F77)</f>
        <v>40</v>
      </c>
      <c r="G78" s="14">
        <f>SUM(G71:G77)</f>
        <v>35</v>
      </c>
      <c r="H78" s="14">
        <f t="shared" ref="H78:L78" si="2">SUM(H71:H77)</f>
        <v>29</v>
      </c>
      <c r="I78" s="14">
        <f t="shared" si="2"/>
        <v>22</v>
      </c>
      <c r="J78" s="14">
        <f t="shared" si="2"/>
        <v>15</v>
      </c>
      <c r="K78" s="14">
        <f t="shared" si="2"/>
        <v>7</v>
      </c>
      <c r="L78" s="14">
        <f t="shared" si="2"/>
        <v>0</v>
      </c>
      <c r="M78" s="13">
        <f>SUM(M71:M77)</f>
        <v>37</v>
      </c>
    </row>
    <row r="79" spans="1:13" ht="24" customHeight="1" x14ac:dyDescent="0.35"/>
    <row r="80" spans="1:13" ht="24" customHeight="1" x14ac:dyDescent="0.35"/>
  </sheetData>
  <mergeCells count="119">
    <mergeCell ref="A1:M1"/>
    <mergeCell ref="A3:C3"/>
    <mergeCell ref="A5:A6"/>
    <mergeCell ref="B5:B6"/>
    <mergeCell ref="C5:C6"/>
    <mergeCell ref="D5:D6"/>
    <mergeCell ref="E5:E6"/>
    <mergeCell ref="F5:L5"/>
    <mergeCell ref="M5:M6"/>
    <mergeCell ref="I9:I10"/>
    <mergeCell ref="J9:J10"/>
    <mergeCell ref="K9:K10"/>
    <mergeCell ref="L9:L10"/>
    <mergeCell ref="M9:M10"/>
    <mergeCell ref="O5:Q5"/>
    <mergeCell ref="O6:Q6"/>
    <mergeCell ref="A7:A35"/>
    <mergeCell ref="B7:B12"/>
    <mergeCell ref="O7:Q7"/>
    <mergeCell ref="C9:C10"/>
    <mergeCell ref="D9:D10"/>
    <mergeCell ref="E9:E10"/>
    <mergeCell ref="F9:F10"/>
    <mergeCell ref="G9:G10"/>
    <mergeCell ref="D14:D15"/>
    <mergeCell ref="E14:E15"/>
    <mergeCell ref="F14:F15"/>
    <mergeCell ref="G14:G15"/>
    <mergeCell ref="C18:C19"/>
    <mergeCell ref="D18:D19"/>
    <mergeCell ref="E18:E19"/>
    <mergeCell ref="F18:F19"/>
    <mergeCell ref="H9:H10"/>
    <mergeCell ref="N14:N15"/>
    <mergeCell ref="O14:O15"/>
    <mergeCell ref="P14:P15"/>
    <mergeCell ref="Q14:Q15"/>
    <mergeCell ref="R14:R15"/>
    <mergeCell ref="S14:S15"/>
    <mergeCell ref="H14:H15"/>
    <mergeCell ref="I14:I15"/>
    <mergeCell ref="J14:J15"/>
    <mergeCell ref="K14:K15"/>
    <mergeCell ref="L14:L15"/>
    <mergeCell ref="M14:M15"/>
    <mergeCell ref="S18:S19"/>
    <mergeCell ref="B21:B27"/>
    <mergeCell ref="C22:C23"/>
    <mergeCell ref="D22:D23"/>
    <mergeCell ref="E22:E23"/>
    <mergeCell ref="F22:F23"/>
    <mergeCell ref="G22:G23"/>
    <mergeCell ref="H22:H23"/>
    <mergeCell ref="I22:I23"/>
    <mergeCell ref="J22:J23"/>
    <mergeCell ref="M18:M19"/>
    <mergeCell ref="N18:N19"/>
    <mergeCell ref="O18:O19"/>
    <mergeCell ref="P18:P19"/>
    <mergeCell ref="Q18:Q19"/>
    <mergeCell ref="R18:R19"/>
    <mergeCell ref="G18:G19"/>
    <mergeCell ref="H18:H19"/>
    <mergeCell ref="I18:I19"/>
    <mergeCell ref="J18:J19"/>
    <mergeCell ref="K18:K19"/>
    <mergeCell ref="L18:L19"/>
    <mergeCell ref="B13:B20"/>
    <mergeCell ref="C14:C15"/>
    <mergeCell ref="R22:R23"/>
    <mergeCell ref="S22:S23"/>
    <mergeCell ref="B28:B34"/>
    <mergeCell ref="C29:C30"/>
    <mergeCell ref="D29:D30"/>
    <mergeCell ref="E29:E30"/>
    <mergeCell ref="F29:F30"/>
    <mergeCell ref="G29:G30"/>
    <mergeCell ref="H29:H30"/>
    <mergeCell ref="K22:K23"/>
    <mergeCell ref="L22:L23"/>
    <mergeCell ref="M22:M23"/>
    <mergeCell ref="N22:N23"/>
    <mergeCell ref="O22:O23"/>
    <mergeCell ref="P22:P23"/>
    <mergeCell ref="O29:O30"/>
    <mergeCell ref="P29:P30"/>
    <mergeCell ref="Q29:Q30"/>
    <mergeCell ref="R29:R30"/>
    <mergeCell ref="S29:S30"/>
    <mergeCell ref="N29:N30"/>
    <mergeCell ref="A69:A70"/>
    <mergeCell ref="B69:B70"/>
    <mergeCell ref="C69:C70"/>
    <mergeCell ref="D69:D70"/>
    <mergeCell ref="E69:E70"/>
    <mergeCell ref="F69:L69"/>
    <mergeCell ref="M69:M70"/>
    <mergeCell ref="Q22:Q23"/>
    <mergeCell ref="A41:A42"/>
    <mergeCell ref="B41:B42"/>
    <mergeCell ref="C41:C42"/>
    <mergeCell ref="D41:D42"/>
    <mergeCell ref="E41:E42"/>
    <mergeCell ref="F41:L41"/>
    <mergeCell ref="M41:M42"/>
    <mergeCell ref="A43:A63"/>
    <mergeCell ref="B63:D63"/>
    <mergeCell ref="B43:B48"/>
    <mergeCell ref="B49:B54"/>
    <mergeCell ref="B55:B61"/>
    <mergeCell ref="A71:A78"/>
    <mergeCell ref="B71:B77"/>
    <mergeCell ref="B78:D78"/>
    <mergeCell ref="B35:C35"/>
    <mergeCell ref="I29:I30"/>
    <mergeCell ref="J29:J30"/>
    <mergeCell ref="K29:K30"/>
    <mergeCell ref="L29:L30"/>
    <mergeCell ref="M29:M3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71A81-8258-4C6D-A451-4696C51058CD}">
  <dimension ref="A1:C10"/>
  <sheetViews>
    <sheetView zoomScale="160" zoomScaleNormal="160" workbookViewId="0">
      <selection activeCell="E8" sqref="E8"/>
    </sheetView>
  </sheetViews>
  <sheetFormatPr defaultColWidth="9.1796875" defaultRowHeight="17" x14ac:dyDescent="0.6"/>
  <cols>
    <col min="1" max="1" width="24.81640625" style="2" customWidth="1"/>
    <col min="2" max="2" width="19.26953125" style="2" customWidth="1"/>
    <col min="3" max="3" width="24.7265625" style="2" customWidth="1"/>
    <col min="4" max="16384" width="9.1796875" style="2"/>
  </cols>
  <sheetData>
    <row r="1" spans="1:3" ht="24" x14ac:dyDescent="0.8">
      <c r="A1" s="65" t="s">
        <v>43</v>
      </c>
      <c r="B1" s="65"/>
      <c r="C1" s="65"/>
    </row>
    <row r="2" spans="1:3" ht="24" x14ac:dyDescent="0.8">
      <c r="A2" s="3"/>
      <c r="B2" s="3"/>
      <c r="C2" s="3"/>
    </row>
    <row r="3" spans="1:3" ht="24" customHeight="1" x14ac:dyDescent="0.6">
      <c r="A3" s="4" t="s">
        <v>13</v>
      </c>
      <c r="B3" s="4" t="s">
        <v>14</v>
      </c>
      <c r="C3" s="5" t="s">
        <v>15</v>
      </c>
    </row>
    <row r="4" spans="1:3" ht="24" x14ac:dyDescent="0.8">
      <c r="A4" s="6" t="s">
        <v>16</v>
      </c>
      <c r="B4" s="7" t="s">
        <v>17</v>
      </c>
      <c r="C4" s="7">
        <v>35</v>
      </c>
    </row>
    <row r="5" spans="1:3" ht="24" x14ac:dyDescent="0.8">
      <c r="A5" s="6" t="s">
        <v>18</v>
      </c>
      <c r="B5" s="7" t="s">
        <v>19</v>
      </c>
      <c r="C5" s="7">
        <v>40</v>
      </c>
    </row>
    <row r="6" spans="1:3" ht="24" x14ac:dyDescent="0.8">
      <c r="A6" s="6" t="s">
        <v>20</v>
      </c>
      <c r="B6" s="7" t="s">
        <v>21</v>
      </c>
      <c r="C6" s="7">
        <v>15</v>
      </c>
    </row>
    <row r="7" spans="1:3" ht="24" x14ac:dyDescent="0.8">
      <c r="A7" s="6" t="s">
        <v>22</v>
      </c>
      <c r="B7" s="7" t="s">
        <v>23</v>
      </c>
      <c r="C7" s="7">
        <v>28</v>
      </c>
    </row>
    <row r="8" spans="1:3" ht="24" x14ac:dyDescent="0.8">
      <c r="A8" s="6" t="s">
        <v>24</v>
      </c>
      <c r="B8" s="7" t="s">
        <v>25</v>
      </c>
      <c r="C8" s="7">
        <v>35</v>
      </c>
    </row>
    <row r="9" spans="1:3" ht="24" x14ac:dyDescent="0.8">
      <c r="A9" s="6" t="s">
        <v>26</v>
      </c>
      <c r="B9" s="7" t="s">
        <v>27</v>
      </c>
      <c r="C9" s="7">
        <v>56</v>
      </c>
    </row>
    <row r="10" spans="1:3" ht="24" x14ac:dyDescent="0.8">
      <c r="A10" s="66" t="s">
        <v>28</v>
      </c>
      <c r="B10" s="67"/>
      <c r="C10" s="8">
        <f>SUM(C4:C9)</f>
        <v>209</v>
      </c>
    </row>
  </sheetData>
  <mergeCells count="2">
    <mergeCell ref="A1:C1"/>
    <mergeCell ref="A10:B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CCE78-2C9E-4B4B-BB68-3131162B3A20}">
  <dimension ref="A1:E11"/>
  <sheetViews>
    <sheetView zoomScale="130" zoomScaleNormal="130" workbookViewId="0">
      <selection activeCell="O11" sqref="O11"/>
    </sheetView>
  </sheetViews>
  <sheetFormatPr defaultRowHeight="14.5" x14ac:dyDescent="0.35"/>
  <cols>
    <col min="1" max="1" width="24.81640625" customWidth="1"/>
    <col min="2" max="2" width="19.26953125" customWidth="1"/>
    <col min="3" max="5" width="24.7265625" customWidth="1"/>
  </cols>
  <sheetData>
    <row r="1" spans="1:5" ht="24" x14ac:dyDescent="0.8">
      <c r="A1" s="35" t="s">
        <v>61</v>
      </c>
      <c r="B1" s="35"/>
      <c r="C1" s="35"/>
      <c r="D1" s="35"/>
      <c r="E1" s="35"/>
    </row>
    <row r="2" spans="1:5" ht="24" x14ac:dyDescent="0.8">
      <c r="A2" s="9"/>
      <c r="B2" s="9"/>
      <c r="C2" s="9"/>
      <c r="D2" s="29"/>
      <c r="E2" s="29"/>
    </row>
    <row r="3" spans="1:5" ht="24" x14ac:dyDescent="0.35">
      <c r="A3" s="34" t="s">
        <v>13</v>
      </c>
      <c r="B3" s="34" t="s">
        <v>14</v>
      </c>
      <c r="C3" s="34" t="s">
        <v>62</v>
      </c>
      <c r="D3" s="34"/>
      <c r="E3" s="34"/>
    </row>
    <row r="4" spans="1:5" ht="24" x14ac:dyDescent="0.35">
      <c r="A4" s="34"/>
      <c r="B4" s="34"/>
      <c r="C4" s="24" t="s">
        <v>45</v>
      </c>
      <c r="D4" s="30" t="s">
        <v>34</v>
      </c>
      <c r="E4" s="30" t="s">
        <v>60</v>
      </c>
    </row>
    <row r="5" spans="1:5" ht="24" x14ac:dyDescent="0.8">
      <c r="A5" s="18" t="s">
        <v>16</v>
      </c>
      <c r="B5" s="16" t="s">
        <v>17</v>
      </c>
      <c r="C5" s="7">
        <v>40</v>
      </c>
      <c r="D5" s="7">
        <v>40</v>
      </c>
      <c r="E5" s="7">
        <v>35</v>
      </c>
    </row>
    <row r="6" spans="1:5" ht="24" x14ac:dyDescent="0.8">
      <c r="A6" s="18" t="s">
        <v>18</v>
      </c>
      <c r="B6" s="16" t="s">
        <v>19</v>
      </c>
      <c r="C6" s="7">
        <v>56</v>
      </c>
      <c r="D6" s="7">
        <v>56</v>
      </c>
      <c r="E6" s="7">
        <v>40</v>
      </c>
    </row>
    <row r="7" spans="1:5" ht="24" x14ac:dyDescent="0.8">
      <c r="A7" s="18" t="s">
        <v>20</v>
      </c>
      <c r="B7" s="16" t="s">
        <v>21</v>
      </c>
      <c r="C7" s="7">
        <v>20</v>
      </c>
      <c r="D7" s="7">
        <v>56</v>
      </c>
      <c r="E7" s="7">
        <v>15</v>
      </c>
    </row>
    <row r="8" spans="1:5" ht="24" x14ac:dyDescent="0.8">
      <c r="A8" s="18" t="s">
        <v>22</v>
      </c>
      <c r="B8" s="16" t="s">
        <v>23</v>
      </c>
      <c r="C8" s="7">
        <v>22</v>
      </c>
      <c r="D8" s="7">
        <v>35</v>
      </c>
      <c r="E8" s="7">
        <v>28</v>
      </c>
    </row>
    <row r="9" spans="1:5" ht="24" x14ac:dyDescent="0.8">
      <c r="A9" s="18" t="s">
        <v>24</v>
      </c>
      <c r="B9" s="16" t="s">
        <v>25</v>
      </c>
      <c r="C9" s="7">
        <v>50</v>
      </c>
      <c r="D9" s="7">
        <v>35</v>
      </c>
      <c r="E9" s="7">
        <v>35</v>
      </c>
    </row>
    <row r="10" spans="1:5" ht="24" x14ac:dyDescent="0.8">
      <c r="A10" s="18" t="s">
        <v>26</v>
      </c>
      <c r="B10" s="16" t="s">
        <v>27</v>
      </c>
      <c r="C10" s="7">
        <v>56</v>
      </c>
      <c r="D10" s="7">
        <v>56</v>
      </c>
      <c r="E10" s="7">
        <v>56</v>
      </c>
    </row>
    <row r="11" spans="1:5" ht="24" x14ac:dyDescent="0.8">
      <c r="A11" s="33" t="s">
        <v>28</v>
      </c>
      <c r="B11" s="33"/>
      <c r="C11" s="23">
        <f>SUM(C5:C10)</f>
        <v>244</v>
      </c>
      <c r="D11" s="30">
        <f>SUM(D5:D10)</f>
        <v>278</v>
      </c>
      <c r="E11" s="30">
        <f>SUM(E5:E10)</f>
        <v>209</v>
      </c>
    </row>
  </sheetData>
  <mergeCells count="5">
    <mergeCell ref="A11:B11"/>
    <mergeCell ref="A3:A4"/>
    <mergeCell ref="B3:B4"/>
    <mergeCell ref="C3:E3"/>
    <mergeCell ref="A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 Backlog Sprint 3</vt:lpstr>
      <vt:lpstr>Sprint Backlog Sprint 1-3</vt:lpstr>
      <vt:lpstr>Capacity Sprint 3</vt:lpstr>
      <vt:lpstr>Capacity Sprint1-3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ธันย์ชนก โสภา</dc:creator>
  <cp:lastModifiedBy>ธันย์ชนก โสภา</cp:lastModifiedBy>
  <cp:lastPrinted>2026-02-14T15:52:57Z</cp:lastPrinted>
  <dcterms:created xsi:type="dcterms:W3CDTF">2026-02-14T14:10:52Z</dcterms:created>
  <dcterms:modified xsi:type="dcterms:W3CDTF">2026-03-17T16:09:19Z</dcterms:modified>
</cp:coreProperties>
</file>